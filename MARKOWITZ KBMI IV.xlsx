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Markowitz Excel\"/>
    </mc:Choice>
  </mc:AlternateContent>
  <xr:revisionPtr revIDLastSave="0" documentId="13_ncr:1_{5CC3E71E-CB16-4D38-B836-AD36E5C27910}" xr6:coauthVersionLast="47" xr6:coauthVersionMax="47" xr10:uidLastSave="{00000000-0000-0000-0000-000000000000}"/>
  <bookViews>
    <workbookView xWindow="-110" yWindow="-110" windowWidth="19420" windowHeight="10300" firstSheet="5" activeTab="7" xr2:uid="{F5F100BF-85FC-4E10-9B42-6EAB92471A4C}"/>
  </bookViews>
  <sheets>
    <sheet name="harga saham" sheetId="1" r:id="rId1"/>
    <sheet name="TINGKAT RETURN" sheetId="2" r:id="rId2"/>
    <sheet name="TOTAL TINGKAT RETURN" sheetId="3" r:id="rId3"/>
    <sheet name="EXPECTED RETURN" sheetId="4" r:id="rId4"/>
    <sheet name="DEVIASI STANDAR" sheetId="5" r:id="rId5"/>
    <sheet name="KOMBINASI" sheetId="6" r:id="rId6"/>
    <sheet name="KOVARIAN ANTAR SAHAM" sheetId="7" r:id="rId7"/>
    <sheet name="KOEFISIEN ANTAR SAHAM" sheetId="9" r:id="rId8"/>
    <sheet name="MAX &amp; MVP" sheetId="16" r:id="rId9"/>
    <sheet name="PROPORSI DANA" sheetId="17" r:id="rId10"/>
    <sheet name="RISIKO PORTOFOLIO  SAHAM " sheetId="10" r:id="rId11"/>
    <sheet name="TINGKAT KEUNTUNGA DAN RESIKO" sheetId="11" r:id="rId12"/>
    <sheet name="PORTOFOLIO EFISIEN &amp; OPTIMAL" sheetId="12" r:id="rId13"/>
  </sheets>
  <definedNames>
    <definedName name="solver_cvg" localSheetId="9" hidden="1">0.0001</definedName>
    <definedName name="solver_drv" localSheetId="9" hidden="1">2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lhs1" localSheetId="9" hidden="1">'PROPORSI DANA'!$D$5</definedName>
    <definedName name="solver_lhs2" localSheetId="9" hidden="1">'PROPORSI DANA'!$D$5</definedName>
    <definedName name="solver_lhs3" localSheetId="9" hidden="1">'PROPORSI DANA'!$D$6</definedName>
    <definedName name="solver_lhs4" localSheetId="9" hidden="1">'PROPORSI DANA'!$D$6</definedName>
    <definedName name="solver_lhs5" localSheetId="9" hidden="1">'PROPORSI DANA'!$D$7</definedName>
    <definedName name="solver_lhs6" localSheetId="9" hidden="1">'PROPORSI DANA'!$D$7</definedName>
    <definedName name="solver_lhs7" localSheetId="9" hidden="1">'PROPORSI DANA'!$D$8</definedName>
    <definedName name="solver_lhs8" localSheetId="9" hidden="1">'PROPORSI DANA'!$D$8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pre" localSheetId="9" hidden="1">0.000001</definedName>
    <definedName name="solver_rbv" localSheetId="9" hidden="1">2</definedName>
    <definedName name="solver_rel1" localSheetId="9" hidden="1">1</definedName>
    <definedName name="solver_rel2" localSheetId="9" hidden="1">3</definedName>
    <definedName name="solver_rel3" localSheetId="9" hidden="1">1</definedName>
    <definedName name="solver_rel4" localSheetId="9" hidden="1">3</definedName>
    <definedName name="solver_rel5" localSheetId="9" hidden="1">1</definedName>
    <definedName name="solver_rel6" localSheetId="9" hidden="1">3</definedName>
    <definedName name="solver_rel7" localSheetId="9" hidden="1">1</definedName>
    <definedName name="solver_rel8" localSheetId="9" hidden="1">3</definedName>
    <definedName name="solver_rhs1" localSheetId="9" hidden="1">1</definedName>
    <definedName name="solver_rhs2" localSheetId="9" hidden="1">0</definedName>
    <definedName name="solver_rhs3" localSheetId="9" hidden="1">1</definedName>
    <definedName name="solver_rhs4" localSheetId="9" hidden="1">0</definedName>
    <definedName name="solver_rhs5" localSheetId="9" hidden="1">1</definedName>
    <definedName name="solver_rhs6" localSheetId="9" hidden="1">0</definedName>
    <definedName name="solver_rhs7" localSheetId="9" hidden="1">1</definedName>
    <definedName name="solver_rhs8" localSheetId="9" hidden="1">0</definedName>
    <definedName name="solver_rlx" localSheetId="9" hidden="1">2</definedName>
    <definedName name="solver_rsd" localSheetId="9" hidden="1">0</definedName>
    <definedName name="solver_scl" localSheetId="9" hidden="1">2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1</definedName>
    <definedName name="solver_val" localSheetId="9" hidden="1">0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9" l="1"/>
  <c r="I8" i="9"/>
  <c r="I6" i="9"/>
  <c r="I5" i="9"/>
  <c r="I4" i="9"/>
  <c r="N6" i="5"/>
  <c r="M6" i="5"/>
  <c r="B6" i="4"/>
  <c r="E5" i="2" l="1"/>
  <c r="D6" i="17"/>
  <c r="D7" i="17"/>
  <c r="D8" i="17"/>
  <c r="C6" i="17"/>
  <c r="C7" i="17"/>
  <c r="C8" i="17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6" i="17"/>
  <c r="B7" i="17"/>
  <c r="B8" i="17"/>
  <c r="E13" i="16"/>
  <c r="O5" i="2"/>
  <c r="O4" i="2"/>
  <c r="F12" i="16"/>
  <c r="F11" i="16"/>
  <c r="F10" i="16"/>
  <c r="F9" i="16"/>
  <c r="F8" i="16"/>
  <c r="F7" i="16"/>
  <c r="F89" i="7"/>
  <c r="E12" i="16"/>
  <c r="E11" i="16"/>
  <c r="E10" i="16"/>
  <c r="E9" i="16"/>
  <c r="E8" i="16"/>
  <c r="E7" i="16"/>
  <c r="E6" i="16"/>
  <c r="E5" i="16"/>
  <c r="E4" i="16"/>
  <c r="E3" i="16"/>
  <c r="C4" i="16"/>
  <c r="C5" i="16"/>
  <c r="C6" i="16"/>
  <c r="D10" i="3" l="1"/>
  <c r="M32" i="2"/>
  <c r="E16" i="3" s="1"/>
  <c r="M31" i="2"/>
  <c r="E15" i="3" s="1"/>
  <c r="M30" i="2"/>
  <c r="E14" i="3" s="1"/>
  <c r="M29" i="2"/>
  <c r="E13" i="3" s="1"/>
  <c r="M28" i="2"/>
  <c r="E12" i="3" s="1"/>
  <c r="M27" i="2"/>
  <c r="E11" i="3" s="1"/>
  <c r="M26" i="2"/>
  <c r="E10" i="3" s="1"/>
  <c r="M25" i="2"/>
  <c r="E9" i="3" s="1"/>
  <c r="M24" i="2"/>
  <c r="E8" i="3" s="1"/>
  <c r="M23" i="2"/>
  <c r="E7" i="3" s="1"/>
  <c r="M22" i="2"/>
  <c r="E6" i="3" s="1"/>
  <c r="E32" i="2"/>
  <c r="D16" i="3" s="1"/>
  <c r="E31" i="2"/>
  <c r="D15" i="3" s="1"/>
  <c r="E30" i="2"/>
  <c r="D14" i="3" s="1"/>
  <c r="E29" i="2"/>
  <c r="D13" i="3" s="1"/>
  <c r="E28" i="2"/>
  <c r="D12" i="3" s="1"/>
  <c r="E27" i="2"/>
  <c r="D11" i="3" s="1"/>
  <c r="E26" i="2"/>
  <c r="E25" i="2"/>
  <c r="D9" i="3" s="1"/>
  <c r="E24" i="2"/>
  <c r="D8" i="3" s="1"/>
  <c r="E23" i="2"/>
  <c r="D7" i="3" s="1"/>
  <c r="E22" i="2"/>
  <c r="D6" i="3" s="1"/>
  <c r="M15" i="2"/>
  <c r="M14" i="2"/>
  <c r="M13" i="2"/>
  <c r="C14" i="7" s="1"/>
  <c r="M12" i="2"/>
  <c r="M11" i="2"/>
  <c r="M10" i="2"/>
  <c r="M9" i="2"/>
  <c r="C10" i="7" s="1"/>
  <c r="M8" i="2"/>
  <c r="M7" i="2"/>
  <c r="M6" i="2"/>
  <c r="M5" i="2"/>
  <c r="E15" i="2"/>
  <c r="E14" i="2"/>
  <c r="E13" i="2"/>
  <c r="B14" i="7" s="1"/>
  <c r="E12" i="2"/>
  <c r="E11" i="2"/>
  <c r="B12" i="7" s="1"/>
  <c r="E10" i="2"/>
  <c r="E9" i="2"/>
  <c r="B10" i="7" s="1"/>
  <c r="E8" i="2"/>
  <c r="B9" i="7" s="1"/>
  <c r="E7" i="2"/>
  <c r="B8" i="7" s="1"/>
  <c r="E6" i="2"/>
  <c r="B10" i="3" l="1"/>
  <c r="I8" i="5"/>
  <c r="C31" i="7"/>
  <c r="J8" i="5"/>
  <c r="C32" i="7"/>
  <c r="C27" i="7"/>
  <c r="J9" i="5"/>
  <c r="I84" i="7"/>
  <c r="J84" i="7" s="1"/>
  <c r="J32" i="7"/>
  <c r="C24" i="7"/>
  <c r="I78" i="7"/>
  <c r="J78" i="7" s="1"/>
  <c r="J26" i="7"/>
  <c r="H9" i="5"/>
  <c r="I82" i="7"/>
  <c r="J82" i="7" s="1"/>
  <c r="J30" i="7"/>
  <c r="B50" i="7"/>
  <c r="G8" i="5"/>
  <c r="C29" i="7"/>
  <c r="I80" i="7"/>
  <c r="J80" i="7" s="1"/>
  <c r="J28" i="7"/>
  <c r="B32" i="7"/>
  <c r="I32" i="7" s="1"/>
  <c r="J14" i="7"/>
  <c r="I14" i="7"/>
  <c r="C11" i="3"/>
  <c r="G7" i="5" s="1"/>
  <c r="C11" i="7"/>
  <c r="C15" i="3"/>
  <c r="K7" i="5" s="1"/>
  <c r="C15" i="7"/>
  <c r="C26" i="7"/>
  <c r="H8" i="5"/>
  <c r="C30" i="7"/>
  <c r="L8" i="5"/>
  <c r="C34" i="7"/>
  <c r="I79" i="7"/>
  <c r="J79" i="7" s="1"/>
  <c r="J27" i="7"/>
  <c r="I9" i="5"/>
  <c r="I83" i="7"/>
  <c r="J83" i="7" s="1"/>
  <c r="J31" i="7"/>
  <c r="B6" i="3"/>
  <c r="B6" i="7"/>
  <c r="B9" i="3"/>
  <c r="B46" i="7"/>
  <c r="C25" i="7"/>
  <c r="K8" i="5"/>
  <c r="C33" i="7"/>
  <c r="B28" i="7"/>
  <c r="I28" i="7" s="1"/>
  <c r="I10" i="7"/>
  <c r="J10" i="7"/>
  <c r="C7" i="3"/>
  <c r="C7" i="7"/>
  <c r="B7" i="3"/>
  <c r="B7" i="7"/>
  <c r="B11" i="3"/>
  <c r="G6" i="5" s="1"/>
  <c r="B11" i="7"/>
  <c r="B15" i="3"/>
  <c r="K6" i="5" s="1"/>
  <c r="B15" i="7"/>
  <c r="C8" i="3"/>
  <c r="C8" i="7"/>
  <c r="C12" i="3"/>
  <c r="H7" i="5" s="1"/>
  <c r="C12" i="7"/>
  <c r="C16" i="3"/>
  <c r="L7" i="5" s="1"/>
  <c r="C16" i="7"/>
  <c r="I76" i="7"/>
  <c r="J76" i="7" s="1"/>
  <c r="J24" i="7"/>
  <c r="B14" i="3"/>
  <c r="J6" i="5" s="1"/>
  <c r="B8" i="3"/>
  <c r="J9" i="7"/>
  <c r="B27" i="7"/>
  <c r="I27" i="7" s="1"/>
  <c r="I9" i="7"/>
  <c r="B13" i="3"/>
  <c r="I6" i="5" s="1"/>
  <c r="B13" i="7"/>
  <c r="C6" i="7"/>
  <c r="C6" i="3"/>
  <c r="L9" i="5"/>
  <c r="I86" i="7"/>
  <c r="J86" i="7" s="1"/>
  <c r="J34" i="7"/>
  <c r="C10" i="3"/>
  <c r="C28" i="7"/>
  <c r="B26" i="7"/>
  <c r="I26" i="7" s="1"/>
  <c r="J8" i="7"/>
  <c r="I8" i="7"/>
  <c r="B30" i="7"/>
  <c r="I30" i="7" s="1"/>
  <c r="J12" i="7"/>
  <c r="I12" i="7"/>
  <c r="B16" i="3"/>
  <c r="L6" i="5" s="1"/>
  <c r="B16" i="7"/>
  <c r="C9" i="3"/>
  <c r="C9" i="7"/>
  <c r="C13" i="3"/>
  <c r="I7" i="5" s="1"/>
  <c r="C13" i="7"/>
  <c r="I77" i="7"/>
  <c r="J77" i="7" s="1"/>
  <c r="J25" i="7"/>
  <c r="G9" i="5"/>
  <c r="B6" i="16" s="1"/>
  <c r="I81" i="7"/>
  <c r="J81" i="7" s="1"/>
  <c r="J29" i="7"/>
  <c r="K9" i="5"/>
  <c r="I85" i="7"/>
  <c r="J85" i="7" s="1"/>
  <c r="J33" i="7"/>
  <c r="B12" i="3"/>
  <c r="H6" i="5" s="1"/>
  <c r="C14" i="3"/>
  <c r="J7" i="5" s="1"/>
  <c r="E17" i="3"/>
  <c r="D17" i="3"/>
  <c r="B3" i="16" l="1"/>
  <c r="B5" i="16"/>
  <c r="B49" i="7"/>
  <c r="B34" i="7"/>
  <c r="I34" i="7" s="1"/>
  <c r="J16" i="7"/>
  <c r="I16" i="7"/>
  <c r="C69" i="7"/>
  <c r="C86" i="7" s="1"/>
  <c r="B42" i="7"/>
  <c r="C17" i="7"/>
  <c r="C18" i="7" s="1"/>
  <c r="E13" i="7" s="1"/>
  <c r="D49" i="7" s="1"/>
  <c r="B52" i="7"/>
  <c r="B44" i="7"/>
  <c r="I11" i="7"/>
  <c r="J11" i="7"/>
  <c r="B29" i="7"/>
  <c r="I29" i="7" s="1"/>
  <c r="B43" i="7"/>
  <c r="J43" i="7"/>
  <c r="I60" i="7" s="1"/>
  <c r="B67" i="7"/>
  <c r="I50" i="7"/>
  <c r="C50" i="7"/>
  <c r="J42" i="7"/>
  <c r="C35" i="7"/>
  <c r="C36" i="7" s="1"/>
  <c r="E25" i="7" s="1"/>
  <c r="L43" i="7" s="1"/>
  <c r="K60" i="7" s="1"/>
  <c r="C66" i="7"/>
  <c r="C83" i="7" s="1"/>
  <c r="J48" i="7"/>
  <c r="I65" i="7" s="1"/>
  <c r="J50" i="7"/>
  <c r="I67" i="7" s="1"/>
  <c r="C17" i="3"/>
  <c r="B7" i="4" s="1"/>
  <c r="J46" i="7"/>
  <c r="I63" i="7" s="1"/>
  <c r="I13" i="7"/>
  <c r="B31" i="7"/>
  <c r="I31" i="7" s="1"/>
  <c r="J13" i="7"/>
  <c r="B24" i="7"/>
  <c r="J6" i="7"/>
  <c r="I6" i="7"/>
  <c r="B17" i="7"/>
  <c r="B18" i="7" s="1"/>
  <c r="J52" i="7"/>
  <c r="I69" i="7" s="1"/>
  <c r="J44" i="7"/>
  <c r="I61" i="7" s="1"/>
  <c r="B47" i="7"/>
  <c r="C61" i="7"/>
  <c r="C78" i="7" s="1"/>
  <c r="J45" i="7"/>
  <c r="I62" i="7" s="1"/>
  <c r="J49" i="7"/>
  <c r="I66" i="7" s="1"/>
  <c r="B51" i="7"/>
  <c r="C63" i="7"/>
  <c r="C80" i="7" s="1"/>
  <c r="B17" i="3"/>
  <c r="C60" i="7"/>
  <c r="C77" i="7" s="1"/>
  <c r="C64" i="7"/>
  <c r="C81" i="7" s="1"/>
  <c r="B45" i="7"/>
  <c r="C59" i="7"/>
  <c r="J35" i="7"/>
  <c r="J36" i="7" s="1"/>
  <c r="L25" i="7" s="1"/>
  <c r="E60" i="7" s="1"/>
  <c r="E77" i="7" s="1"/>
  <c r="K77" i="7" s="1"/>
  <c r="C68" i="7"/>
  <c r="C85" i="7" s="1"/>
  <c r="B48" i="7"/>
  <c r="I15" i="7"/>
  <c r="J15" i="7"/>
  <c r="B33" i="7"/>
  <c r="I33" i="7" s="1"/>
  <c r="B25" i="7"/>
  <c r="I25" i="7" s="1"/>
  <c r="J7" i="7"/>
  <c r="I7" i="7"/>
  <c r="J51" i="7"/>
  <c r="I68" i="7" s="1"/>
  <c r="E33" i="7"/>
  <c r="L51" i="7" s="1"/>
  <c r="K68" i="7" s="1"/>
  <c r="B63" i="7"/>
  <c r="I46" i="7"/>
  <c r="C46" i="7"/>
  <c r="C62" i="7"/>
  <c r="C79" i="7" s="1"/>
  <c r="J47" i="7"/>
  <c r="I64" i="7" s="1"/>
  <c r="C65" i="7"/>
  <c r="C82" i="7" s="1"/>
  <c r="C67" i="7"/>
  <c r="C84" i="7" s="1"/>
  <c r="B9" i="4"/>
  <c r="B8" i="4"/>
  <c r="B4" i="16" l="1"/>
  <c r="B7" i="16"/>
  <c r="E12" i="7"/>
  <c r="D48" i="7" s="1"/>
  <c r="E15" i="7"/>
  <c r="D51" i="7" s="1"/>
  <c r="K51" i="7" s="1"/>
  <c r="M51" i="7" s="1"/>
  <c r="E11" i="7"/>
  <c r="D47" i="7" s="1"/>
  <c r="E47" i="7" s="1"/>
  <c r="E7" i="7"/>
  <c r="D43" i="7" s="1"/>
  <c r="D60" i="7" s="1"/>
  <c r="F60" i="7" s="1"/>
  <c r="E6" i="7"/>
  <c r="D42" i="7" s="1"/>
  <c r="E9" i="7"/>
  <c r="D45" i="7" s="1"/>
  <c r="D62" i="7" s="1"/>
  <c r="F62" i="7" s="1"/>
  <c r="E16" i="7"/>
  <c r="D52" i="7" s="1"/>
  <c r="D69" i="7" s="1"/>
  <c r="E26" i="7"/>
  <c r="L44" i="7" s="1"/>
  <c r="K61" i="7" s="1"/>
  <c r="L61" i="7" s="1"/>
  <c r="D66" i="7"/>
  <c r="K49" i="7"/>
  <c r="E49" i="7"/>
  <c r="F49" i="7" s="1"/>
  <c r="D77" i="7"/>
  <c r="F77" i="7" s="1"/>
  <c r="L60" i="7"/>
  <c r="M60" i="7" s="1"/>
  <c r="L77" i="7"/>
  <c r="M77" i="7" s="1"/>
  <c r="D7" i="4"/>
  <c r="M7" i="5" s="1"/>
  <c r="J5" i="9"/>
  <c r="L5" i="9" s="1"/>
  <c r="D9" i="7"/>
  <c r="D12" i="7"/>
  <c r="D14" i="7"/>
  <c r="D10" i="7"/>
  <c r="D8" i="7"/>
  <c r="D59" i="7"/>
  <c r="K42" i="7"/>
  <c r="E42" i="7"/>
  <c r="F42" i="7" s="1"/>
  <c r="J68" i="7"/>
  <c r="B85" i="7"/>
  <c r="B65" i="7"/>
  <c r="I48" i="7"/>
  <c r="C48" i="7"/>
  <c r="L24" i="7"/>
  <c r="E59" i="7" s="1"/>
  <c r="E76" i="7" s="1"/>
  <c r="K76" i="7" s="1"/>
  <c r="L29" i="7"/>
  <c r="E64" i="7" s="1"/>
  <c r="E81" i="7" s="1"/>
  <c r="K81" i="7" s="1"/>
  <c r="E51" i="7"/>
  <c r="F51" i="7" s="1"/>
  <c r="D68" i="7"/>
  <c r="F68" i="7" s="1"/>
  <c r="E27" i="7"/>
  <c r="L45" i="7" s="1"/>
  <c r="K62" i="7" s="1"/>
  <c r="B78" i="7"/>
  <c r="J61" i="7"/>
  <c r="I17" i="7"/>
  <c r="I18" i="7" s="1"/>
  <c r="D13" i="7"/>
  <c r="E32" i="7"/>
  <c r="L50" i="7" s="1"/>
  <c r="K67" i="7" s="1"/>
  <c r="L31" i="7"/>
  <c r="E66" i="7" s="1"/>
  <c r="E83" i="7" s="1"/>
  <c r="K83" i="7" s="1"/>
  <c r="E24" i="7"/>
  <c r="L42" i="7" s="1"/>
  <c r="K59" i="7" s="1"/>
  <c r="K43" i="7"/>
  <c r="M43" i="7" s="1"/>
  <c r="D11" i="7"/>
  <c r="B69" i="7"/>
  <c r="C52" i="7"/>
  <c r="I52" i="7"/>
  <c r="I42" i="7"/>
  <c r="B59" i="7"/>
  <c r="B53" i="7"/>
  <c r="C42" i="7"/>
  <c r="D65" i="7"/>
  <c r="F65" i="7" s="1"/>
  <c r="K48" i="7"/>
  <c r="E48" i="7"/>
  <c r="F48" i="7" s="1"/>
  <c r="I45" i="7"/>
  <c r="C45" i="7"/>
  <c r="B62" i="7"/>
  <c r="B68" i="7"/>
  <c r="C51" i="7"/>
  <c r="I51" i="7"/>
  <c r="B83" i="7"/>
  <c r="J66" i="7"/>
  <c r="L26" i="7"/>
  <c r="E61" i="7" s="1"/>
  <c r="E78" i="7" s="1"/>
  <c r="K78" i="7" s="1"/>
  <c r="B35" i="7"/>
  <c r="B36" i="7" s="1"/>
  <c r="I24" i="7"/>
  <c r="K52" i="7"/>
  <c r="E52" i="7"/>
  <c r="F52" i="7" s="1"/>
  <c r="D9" i="4"/>
  <c r="M9" i="5" s="1"/>
  <c r="I13" i="9"/>
  <c r="J7" i="9"/>
  <c r="L7" i="9" s="1"/>
  <c r="J12" i="9"/>
  <c r="L12" i="9" s="1"/>
  <c r="J10" i="9"/>
  <c r="L10" i="9" s="1"/>
  <c r="D7" i="7"/>
  <c r="L27" i="7"/>
  <c r="E62" i="7" s="1"/>
  <c r="E79" i="7" s="1"/>
  <c r="K79" i="7" s="1"/>
  <c r="D15" i="7"/>
  <c r="L33" i="7"/>
  <c r="E68" i="7" s="1"/>
  <c r="E85" i="7" s="1"/>
  <c r="K85" i="7" s="1"/>
  <c r="C76" i="7"/>
  <c r="C87" i="7" s="1"/>
  <c r="C70" i="7"/>
  <c r="C71" i="7" s="1"/>
  <c r="L28" i="7"/>
  <c r="E63" i="7" s="1"/>
  <c r="E80" i="7" s="1"/>
  <c r="K80" i="7" s="1"/>
  <c r="B79" i="7"/>
  <c r="J62" i="7"/>
  <c r="K47" i="7"/>
  <c r="D64" i="7"/>
  <c r="F64" i="7" s="1"/>
  <c r="E34" i="7"/>
  <c r="L52" i="7" s="1"/>
  <c r="K69" i="7" s="1"/>
  <c r="J17" i="7"/>
  <c r="J18" i="7" s="1"/>
  <c r="E28" i="7"/>
  <c r="L46" i="7" s="1"/>
  <c r="K63" i="7" s="1"/>
  <c r="J67" i="7"/>
  <c r="B84" i="7"/>
  <c r="J53" i="7"/>
  <c r="J54" i="7" s="1"/>
  <c r="I59" i="7"/>
  <c r="J60" i="7"/>
  <c r="B77" i="7"/>
  <c r="E8" i="7"/>
  <c r="D44" i="7" s="1"/>
  <c r="L34" i="7"/>
  <c r="E69" i="7" s="1"/>
  <c r="E86" i="7" s="1"/>
  <c r="K86" i="7" s="1"/>
  <c r="D6" i="4"/>
  <c r="J4" i="9"/>
  <c r="L4" i="9" s="1"/>
  <c r="J64" i="7"/>
  <c r="B81" i="7"/>
  <c r="D85" i="7"/>
  <c r="F85" i="7" s="1"/>
  <c r="L68" i="7"/>
  <c r="M68" i="7" s="1"/>
  <c r="B82" i="7"/>
  <c r="J65" i="7"/>
  <c r="B60" i="7"/>
  <c r="I43" i="7"/>
  <c r="C43" i="7"/>
  <c r="D16" i="7"/>
  <c r="L30" i="7"/>
  <c r="E65" i="7" s="1"/>
  <c r="E82" i="7" s="1"/>
  <c r="K82" i="7" s="1"/>
  <c r="D8" i="4"/>
  <c r="M8" i="5" s="1"/>
  <c r="I11" i="9"/>
  <c r="J6" i="9"/>
  <c r="L6" i="9" s="1"/>
  <c r="J9" i="9"/>
  <c r="L9" i="9" s="1"/>
  <c r="L32" i="7"/>
  <c r="E67" i="7" s="1"/>
  <c r="E84" i="7" s="1"/>
  <c r="K84" i="7" s="1"/>
  <c r="E29" i="7"/>
  <c r="L47" i="7" s="1"/>
  <c r="K64" i="7" s="1"/>
  <c r="K45" i="7"/>
  <c r="E45" i="7"/>
  <c r="F45" i="7" s="1"/>
  <c r="E31" i="7"/>
  <c r="L49" i="7" s="1"/>
  <c r="K66" i="7" s="1"/>
  <c r="B64" i="7"/>
  <c r="I47" i="7"/>
  <c r="C47" i="7"/>
  <c r="B86" i="7"/>
  <c r="J69" i="7"/>
  <c r="D6" i="7"/>
  <c r="J63" i="7"/>
  <c r="B80" i="7"/>
  <c r="E30" i="7"/>
  <c r="L48" i="7" s="1"/>
  <c r="K65" i="7" s="1"/>
  <c r="B61" i="7"/>
  <c r="C44" i="7"/>
  <c r="I44" i="7"/>
  <c r="E14" i="7"/>
  <c r="D50" i="7" s="1"/>
  <c r="E10" i="7"/>
  <c r="D46" i="7" s="1"/>
  <c r="I49" i="7"/>
  <c r="C49" i="7"/>
  <c r="B66" i="7"/>
  <c r="B5" i="17" l="1"/>
  <c r="C3" i="16"/>
  <c r="N9" i="5"/>
  <c r="O9" i="5" s="1"/>
  <c r="N7" i="5"/>
  <c r="O7" i="5" s="1"/>
  <c r="N8" i="5"/>
  <c r="O8" i="5" s="1"/>
  <c r="M4" i="9"/>
  <c r="D78" i="7"/>
  <c r="M52" i="7"/>
  <c r="M45" i="7"/>
  <c r="M61" i="7"/>
  <c r="F47" i="7"/>
  <c r="E43" i="7"/>
  <c r="F43" i="7" s="1"/>
  <c r="M42" i="7"/>
  <c r="L65" i="7"/>
  <c r="M65" i="7" s="1"/>
  <c r="D82" i="7"/>
  <c r="F82" i="7" s="1"/>
  <c r="I12" i="9"/>
  <c r="J11" i="9"/>
  <c r="L11" i="9" s="1"/>
  <c r="K11" i="9"/>
  <c r="J13" i="9"/>
  <c r="L13" i="9" s="1"/>
  <c r="K13" i="9"/>
  <c r="L76" i="7"/>
  <c r="M76" i="7" s="1"/>
  <c r="L84" i="7"/>
  <c r="M84" i="7" s="1"/>
  <c r="F78" i="7"/>
  <c r="D61" i="7"/>
  <c r="F61" i="7" s="1"/>
  <c r="K44" i="7"/>
  <c r="M44" i="7" s="1"/>
  <c r="E44" i="7"/>
  <c r="F44" i="7" s="1"/>
  <c r="F53" i="7" s="1"/>
  <c r="F55" i="7" s="1"/>
  <c r="B76" i="7"/>
  <c r="B87" i="7" s="1"/>
  <c r="B88" i="7" s="1"/>
  <c r="I70" i="7"/>
  <c r="J59" i="7"/>
  <c r="D80" i="7"/>
  <c r="F80" i="7" s="1"/>
  <c r="L63" i="7"/>
  <c r="M63" i="7" s="1"/>
  <c r="L85" i="7"/>
  <c r="M85" i="7" s="1"/>
  <c r="F69" i="7"/>
  <c r="B70" i="7"/>
  <c r="B71" i="7" s="1"/>
  <c r="D84" i="7"/>
  <c r="F84" i="7" s="1"/>
  <c r="L67" i="7"/>
  <c r="M67" i="7"/>
  <c r="F14" i="7"/>
  <c r="D32" i="7"/>
  <c r="F32" i="7" s="1"/>
  <c r="K14" i="7"/>
  <c r="L14" i="7"/>
  <c r="I9" i="9"/>
  <c r="M9" i="9" s="1"/>
  <c r="K8" i="9"/>
  <c r="J8" i="9"/>
  <c r="L8" i="9" s="1"/>
  <c r="D67" i="7"/>
  <c r="F67" i="7" s="1"/>
  <c r="K50" i="7"/>
  <c r="M50" i="7" s="1"/>
  <c r="E50" i="7"/>
  <c r="F50" i="7"/>
  <c r="D25" i="7"/>
  <c r="F25" i="7" s="1"/>
  <c r="F7" i="7"/>
  <c r="L7" i="7"/>
  <c r="K7" i="7"/>
  <c r="L82" i="7"/>
  <c r="M82" i="7" s="1"/>
  <c r="M5" i="9"/>
  <c r="L80" i="7"/>
  <c r="M80" i="7" s="1"/>
  <c r="D33" i="7"/>
  <c r="F33" i="7" s="1"/>
  <c r="L15" i="7"/>
  <c r="F15" i="7"/>
  <c r="K15" i="7"/>
  <c r="I35" i="7"/>
  <c r="I36" i="7" s="1"/>
  <c r="K24" i="7" s="1"/>
  <c r="M24" i="7" s="1"/>
  <c r="I53" i="7"/>
  <c r="I54" i="7" s="1"/>
  <c r="K11" i="7"/>
  <c r="L11" i="7"/>
  <c r="D29" i="7"/>
  <c r="F29" i="7" s="1"/>
  <c r="F11" i="7"/>
  <c r="K13" i="7"/>
  <c r="F13" i="7"/>
  <c r="L13" i="7"/>
  <c r="D31" i="7"/>
  <c r="F31" i="7" s="1"/>
  <c r="D79" i="7"/>
  <c r="F79" i="7" s="1"/>
  <c r="L62" i="7"/>
  <c r="M62" i="7"/>
  <c r="F59" i="7"/>
  <c r="F70" i="7" s="1"/>
  <c r="F72" i="7" s="1"/>
  <c r="K12" i="7"/>
  <c r="F12" i="7"/>
  <c r="L12" i="7"/>
  <c r="D30" i="7"/>
  <c r="F30" i="7" s="1"/>
  <c r="M49" i="7"/>
  <c r="D24" i="7"/>
  <c r="F24" i="7" s="1"/>
  <c r="K6" i="7"/>
  <c r="L6" i="7"/>
  <c r="F6" i="7"/>
  <c r="D81" i="7"/>
  <c r="F81" i="7" s="1"/>
  <c r="L64" i="7"/>
  <c r="M64" i="7" s="1"/>
  <c r="L86" i="7"/>
  <c r="M86" i="7" s="1"/>
  <c r="I87" i="7"/>
  <c r="C88" i="7"/>
  <c r="L78" i="7"/>
  <c r="M78" i="7" s="1"/>
  <c r="B54" i="7"/>
  <c r="C54" i="7" s="1"/>
  <c r="C53" i="7"/>
  <c r="L83" i="7"/>
  <c r="M83" i="7" s="1"/>
  <c r="F10" i="7"/>
  <c r="D28" i="7"/>
  <c r="F28" i="7" s="1"/>
  <c r="K10" i="7"/>
  <c r="L10" i="7"/>
  <c r="D83" i="7"/>
  <c r="F83" i="7" s="1"/>
  <c r="L66" i="7"/>
  <c r="M66" i="7" s="1"/>
  <c r="D63" i="7"/>
  <c r="F63" i="7" s="1"/>
  <c r="E46" i="7"/>
  <c r="F46" i="7"/>
  <c r="K46" i="7"/>
  <c r="M46" i="7" s="1"/>
  <c r="F16" i="7"/>
  <c r="D34" i="7"/>
  <c r="F34" i="7" s="1"/>
  <c r="K16" i="7"/>
  <c r="L16" i="7"/>
  <c r="L69" i="7"/>
  <c r="M69" i="7"/>
  <c r="D86" i="7"/>
  <c r="F86" i="7" s="1"/>
  <c r="M47" i="7"/>
  <c r="L79" i="7"/>
  <c r="M79" i="7"/>
  <c r="M48" i="7"/>
  <c r="D76" i="7"/>
  <c r="F76" i="7" s="1"/>
  <c r="L59" i="7"/>
  <c r="M59" i="7"/>
  <c r="L81" i="7"/>
  <c r="M81" i="7" s="1"/>
  <c r="L8" i="7"/>
  <c r="K8" i="7"/>
  <c r="M8" i="7" s="1"/>
  <c r="D26" i="7"/>
  <c r="F26" i="7" s="1"/>
  <c r="F8" i="7"/>
  <c r="L9" i="7"/>
  <c r="D27" i="7"/>
  <c r="F27" i="7" s="1"/>
  <c r="K9" i="7"/>
  <c r="F9" i="7"/>
  <c r="F66" i="7"/>
  <c r="N4" i="9" l="1"/>
  <c r="F3" i="16"/>
  <c r="F6" i="16"/>
  <c r="F5" i="16"/>
  <c r="C7" i="16"/>
  <c r="F4" i="16"/>
  <c r="O6" i="5"/>
  <c r="C5" i="17" s="1"/>
  <c r="D5" i="17" s="1"/>
  <c r="K12" i="9"/>
  <c r="M12" i="9"/>
  <c r="M8" i="9"/>
  <c r="N8" i="9" s="1"/>
  <c r="M13" i="9"/>
  <c r="N13" i="9" s="1"/>
  <c r="M11" i="9"/>
  <c r="N11" i="9" s="1"/>
  <c r="M53" i="7"/>
  <c r="M55" i="7" s="1"/>
  <c r="M10" i="7"/>
  <c r="M9" i="7"/>
  <c r="M16" i="7"/>
  <c r="M13" i="7"/>
  <c r="M15" i="7"/>
  <c r="M87" i="7"/>
  <c r="M89" i="7" s="1"/>
  <c r="J87" i="7"/>
  <c r="I88" i="7"/>
  <c r="J88" i="7" s="1"/>
  <c r="M6" i="7"/>
  <c r="M6" i="9"/>
  <c r="K5" i="9"/>
  <c r="N5" i="9" s="1"/>
  <c r="M14" i="7"/>
  <c r="J70" i="7"/>
  <c r="I71" i="7"/>
  <c r="J71" i="7" s="1"/>
  <c r="M70" i="7"/>
  <c r="M72" i="7" s="1"/>
  <c r="F35" i="7"/>
  <c r="F37" i="7" s="1"/>
  <c r="K27" i="7"/>
  <c r="M27" i="7" s="1"/>
  <c r="K26" i="7"/>
  <c r="M26" i="7" s="1"/>
  <c r="K30" i="7"/>
  <c r="M30" i="7" s="1"/>
  <c r="K28" i="7"/>
  <c r="M28" i="7" s="1"/>
  <c r="K32" i="7"/>
  <c r="M32" i="7" s="1"/>
  <c r="K33" i="7"/>
  <c r="M33" i="7" s="1"/>
  <c r="K31" i="7"/>
  <c r="M31" i="7" s="1"/>
  <c r="K34" i="7"/>
  <c r="M34" i="7" s="1"/>
  <c r="K29" i="7"/>
  <c r="M29" i="7" s="1"/>
  <c r="K25" i="7"/>
  <c r="M25" i="7" s="1"/>
  <c r="M7" i="7"/>
  <c r="F87" i="7"/>
  <c r="F17" i="7"/>
  <c r="F19" i="7" s="1"/>
  <c r="M12" i="7"/>
  <c r="M11" i="7"/>
  <c r="I10" i="9"/>
  <c r="K9" i="9"/>
  <c r="N9" i="9" s="1"/>
  <c r="F13" i="16" l="1"/>
  <c r="N12" i="9"/>
  <c r="K10" i="9"/>
  <c r="M10" i="9"/>
  <c r="M35" i="7"/>
  <c r="M37" i="7" s="1"/>
  <c r="K6" i="9"/>
  <c r="N6" i="9" s="1"/>
  <c r="I7" i="9"/>
  <c r="M17" i="7"/>
  <c r="M19" i="7" s="1"/>
  <c r="K7" i="9" l="1"/>
  <c r="M7" i="9"/>
  <c r="N10" i="9"/>
  <c r="N7" i="9" l="1"/>
</calcChain>
</file>

<file path=xl/sharedStrings.xml><?xml version="1.0" encoding="utf-8"?>
<sst xmlns="http://schemas.openxmlformats.org/spreadsheetml/2006/main" count="215" uniqueCount="88">
  <si>
    <t>DATA HARGA SAHAM KBMI IV</t>
  </si>
  <si>
    <t>TAHUN</t>
  </si>
  <si>
    <t xml:space="preserve">HARGA SAHAM </t>
  </si>
  <si>
    <t>BBCA</t>
  </si>
  <si>
    <t>BBRI</t>
  </si>
  <si>
    <t>BBNI</t>
  </si>
  <si>
    <t>BMRI</t>
  </si>
  <si>
    <t>DIVIDEN KBMI IV</t>
  </si>
  <si>
    <t>DIVIDEN</t>
  </si>
  <si>
    <t>Pit</t>
  </si>
  <si>
    <t>Pi(t-1)</t>
  </si>
  <si>
    <t>Di(t)</t>
  </si>
  <si>
    <t>Rit</t>
  </si>
  <si>
    <t>TINGKAT RETURN PT. BANK CENTRAL ASIA TBK (BBCA)</t>
  </si>
  <si>
    <t>PERIODE 2013-2023</t>
  </si>
  <si>
    <t>TINGKAT RETURN PT. BANK RAKYAT INDONESIA TBK (BBRI)</t>
  </si>
  <si>
    <t>TINGKAT RETURN PT. BANK NEGARA INDONESIA TBK (BBNI)</t>
  </si>
  <si>
    <t>TINGKAT RETURN PT. BANK MANDIRI (PERSERO) TBK (BMRI)</t>
  </si>
  <si>
    <t>TINGKAT RETURN (KEUNTUNGAN) TIAP-TIAP SAHAM</t>
  </si>
  <si>
    <t>NAMA SAHAM</t>
  </si>
  <si>
    <t>TOTAL</t>
  </si>
  <si>
    <t>EXPECTED RETURN TIAP-TIAP SAHAM</t>
  </si>
  <si>
    <t>PERIODE JANUARI 2022- DESEMBER 2022</t>
  </si>
  <si>
    <t xml:space="preserve"> TINGKAT RETURN</t>
  </si>
  <si>
    <t>N</t>
  </si>
  <si>
    <t>EXPECTED RETURN</t>
  </si>
  <si>
    <t>RESIKO TIAP-TIAP SAHAM (DEVIASI STANDAR)</t>
  </si>
  <si>
    <t>TINGKAT RETURN</t>
  </si>
  <si>
    <t>VARIANS</t>
  </si>
  <si>
    <t>STANDAR DEVIASI</t>
  </si>
  <si>
    <t>KOMBINASI PORTOFOLIO SAHAM</t>
  </si>
  <si>
    <t>PORTOFOLIO</t>
  </si>
  <si>
    <t>KOMBINASI SAHAM</t>
  </si>
  <si>
    <t>PT. BANK CENTRAL ASIA TBK (BBCA) dan PT. BANK RAKYAT INDONESIA (BBRI)</t>
  </si>
  <si>
    <t>PT. BANK CENTRAL ASIA TBK (BBCA) dan PT. BANK NEGARA  INDONESIA (BBNI)</t>
  </si>
  <si>
    <t>PT. BANK CENTRAL ASIA TBK (BBCA) dan PT. BANK MANDIRI (PERSERO) TBK (BMRI)</t>
  </si>
  <si>
    <t>PT. BANK RAKYAT INDONESIA (BBRI) dan PT. BANK NEGARA INDONESIA TBK (BBNI)</t>
  </si>
  <si>
    <t>PT. BANK RAKYAT INDONESIA (BBRI) dan PT. BANK MANDIRI (PERSERO) TBK (BMRI)</t>
  </si>
  <si>
    <t>PT. BANK NEGARA INDONESIA TBK (BBNI) dan PT. BANK MANDIRI (PERSERO) TBK (BMRI)</t>
  </si>
  <si>
    <t xml:space="preserve">DIVIDEN </t>
  </si>
  <si>
    <t>(Ra-E(Ra).(Rb-E(Rb)</t>
  </si>
  <si>
    <t>KOVARIAN</t>
  </si>
  <si>
    <t>BBCA (Ra)</t>
  </si>
  <si>
    <t>BBRI (Rb)</t>
  </si>
  <si>
    <t>BBCA(Ra)</t>
  </si>
  <si>
    <t>BBCA(Rb)</t>
  </si>
  <si>
    <t>Ra-Era</t>
  </si>
  <si>
    <t>Rb-Erb</t>
  </si>
  <si>
    <t>Ra-ERa</t>
  </si>
  <si>
    <t>(Ra-ERa).(Rb-Erb)</t>
  </si>
  <si>
    <t>KOMBINASI PORTOFOLIO 1 (BBCA-BBCA)</t>
  </si>
  <si>
    <t>KOMBINASI PORTOFOLIO 2 (BBCA-BBRI)</t>
  </si>
  <si>
    <t>KOMBINASI PORTOFOLIO 3 (BBCA-BBNI)</t>
  </si>
  <si>
    <t>KOMBINASI PORTOFOLIO 4 (BBCA-BMRI)</t>
  </si>
  <si>
    <t>EXEPECTED RETURN</t>
  </si>
  <si>
    <t>(Ra-ERa).(Rb-ERb)</t>
  </si>
  <si>
    <t>(Ra-Era).((Rb-Erb)</t>
  </si>
  <si>
    <t>BMRI(Rb)</t>
  </si>
  <si>
    <t>BBNI(Rb)</t>
  </si>
  <si>
    <t>KOMBINASI PORTOFOLIO 5 (BBRI-BBRI)</t>
  </si>
  <si>
    <t>(Ra-Era)</t>
  </si>
  <si>
    <t>(Rb-Erb)</t>
  </si>
  <si>
    <t>(Ra-ERa)</t>
  </si>
  <si>
    <t>(Rb-ERb)</t>
  </si>
  <si>
    <t>BBRI(Ra)</t>
  </si>
  <si>
    <t>BBRI(Rb)</t>
  </si>
  <si>
    <t>KOMBINASI PORTOFOLIO 6 (BBRI-BBNI)</t>
  </si>
  <si>
    <t>EXPECETED RETURN</t>
  </si>
  <si>
    <t>KOMBINASI PORTOFOLIO 7 (BBRI-BMRI)</t>
  </si>
  <si>
    <t>(Ra-Era).(Rb-Erb)</t>
  </si>
  <si>
    <t>KOMBINASI PORTOFOLIO 8 (BBNI-BBNI)</t>
  </si>
  <si>
    <t>BBNI(Ra)</t>
  </si>
  <si>
    <t>KOMBINASI PORTOFOLIO 9 (BBNI-BMRI)</t>
  </si>
  <si>
    <t>KOMBINASI PORTOFOLIO 10 (BMRI-BMRI)</t>
  </si>
  <si>
    <t>BMRI(Ra)</t>
  </si>
  <si>
    <t>∑Rj</t>
  </si>
  <si>
    <t>∑Ri</t>
  </si>
  <si>
    <t>∑Ri²</t>
  </si>
  <si>
    <t>∑Rj²</t>
  </si>
  <si>
    <r>
      <t>(</t>
    </r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charset val="1"/>
        <scheme val="minor"/>
      </rPr>
      <t>Ri).(</t>
    </r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charset val="1"/>
        <scheme val="minor"/>
      </rPr>
      <t>Rj)</t>
    </r>
  </si>
  <si>
    <t>Pi,j</t>
  </si>
  <si>
    <t>Expected Return</t>
  </si>
  <si>
    <t xml:space="preserve">EXPECETED RETURN </t>
  </si>
  <si>
    <t>MAX</t>
  </si>
  <si>
    <t>STANDAR DEVIASI (σ)</t>
  </si>
  <si>
    <t>MVP</t>
  </si>
  <si>
    <t>PROPORSI DANA</t>
  </si>
  <si>
    <r>
      <t>E(R):</t>
    </r>
    <r>
      <rPr>
        <sz val="11"/>
        <color theme="1"/>
        <rFont val="Calibri"/>
        <family val="2"/>
      </rPr>
      <t>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</si>
</sst>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0000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3" fontId="0" fillId="0" borderId="1" xfId="0" applyNumberFormat="1" applyBorder="1"/>
    <xf numFmtId="164" fontId="0" fillId="0" borderId="1" xfId="0" applyNumberFormat="1" applyBorder="1" applyAlignment="1">
      <alignment horizontal="center" vertical="top"/>
    </xf>
    <xf numFmtId="164" fontId="0" fillId="0" borderId="17" xfId="0" applyNumberFormat="1" applyBorder="1" applyAlignment="1">
      <alignment horizontal="center" vertical="top"/>
    </xf>
    <xf numFmtId="164" fontId="0" fillId="0" borderId="1" xfId="0" applyNumberFormat="1" applyBorder="1" applyAlignment="1">
      <alignment vertical="center"/>
    </xf>
    <xf numFmtId="164" fontId="0" fillId="0" borderId="17" xfId="0" applyNumberFormat="1" applyBorder="1" applyAlignment="1">
      <alignment vertical="center"/>
    </xf>
    <xf numFmtId="3" fontId="0" fillId="0" borderId="1" xfId="0" applyNumberFormat="1" applyBorder="1" applyAlignment="1">
      <alignment horizontal="left" indent="3"/>
    </xf>
    <xf numFmtId="4" fontId="0" fillId="0" borderId="1" xfId="0" applyNumberForma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0" fontId="1" fillId="0" borderId="0" xfId="0" applyFont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7" xfId="0" applyFont="1" applyBorder="1"/>
    <xf numFmtId="165" fontId="0" fillId="0" borderId="3" xfId="0" applyNumberFormat="1" applyBorder="1"/>
    <xf numFmtId="165" fontId="0" fillId="0" borderId="12" xfId="0" applyNumberFormat="1" applyBorder="1"/>
    <xf numFmtId="165" fontId="0" fillId="0" borderId="1" xfId="0" applyNumberFormat="1" applyBorder="1"/>
    <xf numFmtId="165" fontId="0" fillId="0" borderId="14" xfId="0" applyNumberForma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0" fillId="0" borderId="33" xfId="0" applyBorder="1"/>
    <xf numFmtId="3" fontId="0" fillId="0" borderId="1" xfId="0" applyNumberFormat="1" applyBorder="1" applyAlignment="1">
      <alignment vertic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/>
    <xf numFmtId="165" fontId="0" fillId="0" borderId="0" xfId="0" applyNumberFormat="1"/>
    <xf numFmtId="165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7" xfId="0" applyBorder="1"/>
    <xf numFmtId="0" fontId="1" fillId="0" borderId="3" xfId="0" applyFont="1" applyBorder="1"/>
    <xf numFmtId="165" fontId="0" fillId="0" borderId="17" xfId="0" applyNumberFormat="1" applyBorder="1"/>
    <xf numFmtId="0" fontId="0" fillId="0" borderId="17" xfId="0" applyBorder="1" applyAlignment="1">
      <alignment horizontal="center"/>
    </xf>
    <xf numFmtId="0" fontId="1" fillId="0" borderId="28" xfId="0" applyFont="1" applyBorder="1"/>
    <xf numFmtId="165" fontId="0" fillId="0" borderId="28" xfId="0" applyNumberFormat="1" applyBorder="1"/>
    <xf numFmtId="0" fontId="0" fillId="0" borderId="28" xfId="0" applyBorder="1"/>
    <xf numFmtId="0" fontId="1" fillId="0" borderId="9" xfId="0" applyFont="1" applyBorder="1"/>
    <xf numFmtId="165" fontId="0" fillId="0" borderId="9" xfId="0" applyNumberFormat="1" applyBorder="1"/>
    <xf numFmtId="0" fontId="0" fillId="0" borderId="9" xfId="0" applyBorder="1"/>
    <xf numFmtId="0" fontId="1" fillId="0" borderId="34" xfId="0" applyFont="1" applyBorder="1"/>
    <xf numFmtId="0" fontId="0" fillId="0" borderId="35" xfId="0" applyBorder="1"/>
    <xf numFmtId="0" fontId="0" fillId="0" borderId="25" xfId="0" applyBorder="1"/>
    <xf numFmtId="0" fontId="0" fillId="0" borderId="21" xfId="0" applyBorder="1"/>
    <xf numFmtId="0" fontId="0" fillId="0" borderId="8" xfId="0" applyBorder="1"/>
    <xf numFmtId="0" fontId="0" fillId="0" borderId="37" xfId="0" applyBorder="1"/>
    <xf numFmtId="0" fontId="1" fillId="0" borderId="20" xfId="0" applyFont="1" applyBorder="1"/>
    <xf numFmtId="0" fontId="1" fillId="0" borderId="36" xfId="0" applyFont="1" applyBorder="1"/>
    <xf numFmtId="0" fontId="1" fillId="0" borderId="25" xfId="0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38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8" xfId="0" applyFont="1" applyBorder="1" applyAlignment="1">
      <alignment horizontal="center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5241-1D7A-44BD-96E4-E48AF48B9C0F}">
  <dimension ref="A1:K44"/>
  <sheetViews>
    <sheetView workbookViewId="0">
      <selection activeCell="J7" sqref="J7"/>
    </sheetView>
  </sheetViews>
  <sheetFormatPr defaultRowHeight="14.5" x14ac:dyDescent="0.35"/>
  <cols>
    <col min="3" max="3" width="10.1796875" customWidth="1"/>
    <col min="4" max="5" width="12.453125" customWidth="1"/>
    <col min="9" max="9" width="12.36328125" customWidth="1"/>
    <col min="10" max="10" width="13.08984375" customWidth="1"/>
    <col min="11" max="11" width="11.6328125" customWidth="1"/>
  </cols>
  <sheetData>
    <row r="1" spans="1:11" x14ac:dyDescent="0.35">
      <c r="A1" s="83" t="s">
        <v>0</v>
      </c>
      <c r="B1" s="83"/>
      <c r="C1" s="83"/>
      <c r="D1" s="83"/>
      <c r="E1" s="83"/>
      <c r="G1" s="83" t="s">
        <v>7</v>
      </c>
      <c r="H1" s="83"/>
      <c r="I1" s="83"/>
      <c r="J1" s="83"/>
      <c r="K1" s="83"/>
    </row>
    <row r="2" spans="1:11" x14ac:dyDescent="0.35">
      <c r="A2" s="83"/>
      <c r="B2" s="83"/>
      <c r="C2" s="83"/>
      <c r="D2" s="83"/>
      <c r="E2" s="83"/>
      <c r="G2" s="83"/>
      <c r="H2" s="83"/>
      <c r="I2" s="83"/>
      <c r="J2" s="83"/>
      <c r="K2" s="83"/>
    </row>
    <row r="4" spans="1:11" x14ac:dyDescent="0.35">
      <c r="A4" s="84" t="s">
        <v>1</v>
      </c>
      <c r="B4" s="86" t="s">
        <v>2</v>
      </c>
      <c r="C4" s="87"/>
      <c r="D4" s="87"/>
      <c r="E4" s="88"/>
      <c r="G4" s="84" t="s">
        <v>1</v>
      </c>
      <c r="H4" s="86" t="s">
        <v>8</v>
      </c>
      <c r="I4" s="87"/>
      <c r="J4" s="87"/>
      <c r="K4" s="88"/>
    </row>
    <row r="5" spans="1:11" x14ac:dyDescent="0.35">
      <c r="A5" s="85"/>
      <c r="B5" s="1" t="s">
        <v>3</v>
      </c>
      <c r="C5" s="1" t="s">
        <v>4</v>
      </c>
      <c r="D5" s="1" t="s">
        <v>5</v>
      </c>
      <c r="E5" s="1" t="s">
        <v>6</v>
      </c>
      <c r="G5" s="85"/>
      <c r="H5" s="1" t="s">
        <v>3</v>
      </c>
      <c r="I5" s="1" t="s">
        <v>4</v>
      </c>
      <c r="J5" s="1" t="s">
        <v>5</v>
      </c>
      <c r="K5" s="1" t="s">
        <v>6</v>
      </c>
    </row>
    <row r="6" spans="1:11" x14ac:dyDescent="0.35">
      <c r="A6" s="1">
        <v>2012</v>
      </c>
      <c r="B6" s="14">
        <v>1820</v>
      </c>
      <c r="C6" s="14">
        <v>1390</v>
      </c>
      <c r="D6" s="14">
        <v>1850</v>
      </c>
      <c r="E6" s="14">
        <v>2025</v>
      </c>
      <c r="F6" s="82"/>
      <c r="G6" s="1">
        <v>2013</v>
      </c>
      <c r="H6" s="1">
        <v>116</v>
      </c>
      <c r="I6" s="1">
        <v>225.232</v>
      </c>
      <c r="J6" s="1">
        <v>113.35</v>
      </c>
      <c r="K6" s="1">
        <v>199.33798999999999</v>
      </c>
    </row>
    <row r="7" spans="1:11" x14ac:dyDescent="0.35">
      <c r="A7" s="1">
        <v>2013</v>
      </c>
      <c r="B7" s="14">
        <v>1920</v>
      </c>
      <c r="C7" s="14">
        <v>1450</v>
      </c>
      <c r="D7" s="14">
        <v>1975</v>
      </c>
      <c r="E7" s="20">
        <v>1962.5</v>
      </c>
      <c r="G7" s="1">
        <v>2014</v>
      </c>
      <c r="H7" s="1">
        <v>125</v>
      </c>
      <c r="I7" s="1">
        <v>257.32709999999997</v>
      </c>
      <c r="J7" s="1">
        <v>145.71</v>
      </c>
      <c r="K7" s="1">
        <v>234.04825</v>
      </c>
    </row>
    <row r="8" spans="1:11" x14ac:dyDescent="0.35">
      <c r="A8" s="1">
        <v>2014</v>
      </c>
      <c r="B8" s="14">
        <v>2625</v>
      </c>
      <c r="C8" s="14">
        <v>2330</v>
      </c>
      <c r="D8" s="14">
        <v>3050</v>
      </c>
      <c r="E8" s="20">
        <v>2693.75</v>
      </c>
      <c r="G8" s="1">
        <v>2015</v>
      </c>
      <c r="H8" s="1">
        <v>153</v>
      </c>
      <c r="I8" s="1">
        <v>294.80099999999999</v>
      </c>
      <c r="J8" s="1">
        <v>144.54965000000001</v>
      </c>
      <c r="K8" s="1">
        <v>212.91292000000001</v>
      </c>
    </row>
    <row r="9" spans="1:11" x14ac:dyDescent="0.35">
      <c r="A9" s="1">
        <v>2015</v>
      </c>
      <c r="B9" s="14">
        <v>2660</v>
      </c>
      <c r="C9" s="14">
        <v>2285</v>
      </c>
      <c r="D9" s="14">
        <v>2945</v>
      </c>
      <c r="E9" s="20">
        <v>2312.5</v>
      </c>
      <c r="G9" s="1">
        <v>2016</v>
      </c>
      <c r="H9" s="1">
        <v>175</v>
      </c>
      <c r="I9" s="1">
        <v>311.66129999999998</v>
      </c>
      <c r="J9" s="1">
        <v>122.53382000000001</v>
      </c>
      <c r="K9" s="1">
        <v>261.44958000000003</v>
      </c>
    </row>
    <row r="10" spans="1:11" x14ac:dyDescent="0.35">
      <c r="A10" s="1">
        <v>2016</v>
      </c>
      <c r="B10" s="14">
        <v>3100</v>
      </c>
      <c r="C10" s="14">
        <v>2335</v>
      </c>
      <c r="D10" s="20">
        <v>2762.5</v>
      </c>
      <c r="E10" s="20">
        <v>2893.75</v>
      </c>
      <c r="G10" s="1">
        <v>2017</v>
      </c>
      <c r="H10" s="1">
        <v>210</v>
      </c>
      <c r="I10" s="1">
        <v>428.60548999999997</v>
      </c>
      <c r="J10" s="1">
        <v>212.80685</v>
      </c>
      <c r="K10" s="1">
        <v>266.26947000000001</v>
      </c>
    </row>
    <row r="11" spans="1:11" x14ac:dyDescent="0.35">
      <c r="A11" s="1">
        <v>2017</v>
      </c>
      <c r="B11" s="14">
        <v>4380</v>
      </c>
      <c r="C11" s="14">
        <v>3640</v>
      </c>
      <c r="D11" s="14">
        <v>4950</v>
      </c>
      <c r="E11" s="14">
        <v>4000</v>
      </c>
      <c r="G11" s="1">
        <v>2018</v>
      </c>
      <c r="H11" s="1">
        <v>260</v>
      </c>
      <c r="I11" s="1">
        <v>106.74687</v>
      </c>
      <c r="J11" s="1">
        <v>255.55547999999999</v>
      </c>
      <c r="K11" s="1">
        <v>199.02551</v>
      </c>
    </row>
    <row r="12" spans="1:11" x14ac:dyDescent="0.35">
      <c r="A12" s="1">
        <v>2018</v>
      </c>
      <c r="B12" s="14">
        <v>5200</v>
      </c>
      <c r="C12" s="14">
        <v>3660</v>
      </c>
      <c r="D12" s="14">
        <v>4400</v>
      </c>
      <c r="E12" s="20">
        <v>3687.5</v>
      </c>
      <c r="G12" s="1">
        <v>2019</v>
      </c>
      <c r="H12" s="1">
        <v>355</v>
      </c>
      <c r="I12" s="1">
        <v>132.17422999999999</v>
      </c>
      <c r="J12" s="1">
        <v>201.28954999999999</v>
      </c>
      <c r="K12" s="1">
        <v>241.21627000000001</v>
      </c>
    </row>
    <row r="13" spans="1:11" x14ac:dyDescent="0.35">
      <c r="A13" s="1">
        <v>2019</v>
      </c>
      <c r="B13" s="14">
        <v>6685</v>
      </c>
      <c r="C13" s="14">
        <v>4400</v>
      </c>
      <c r="D13" s="14">
        <v>3925</v>
      </c>
      <c r="E13" s="20">
        <v>3837.5</v>
      </c>
      <c r="G13" s="1">
        <v>2020</v>
      </c>
      <c r="H13" s="1">
        <v>553</v>
      </c>
      <c r="I13" s="1">
        <v>168.20219</v>
      </c>
      <c r="J13" s="1">
        <v>206.24107000000001</v>
      </c>
      <c r="K13" s="1">
        <v>353.34170999999998</v>
      </c>
    </row>
    <row r="14" spans="1:11" x14ac:dyDescent="0.35">
      <c r="A14" s="1">
        <v>2020</v>
      </c>
      <c r="B14" s="14">
        <v>6670</v>
      </c>
      <c r="C14" s="14">
        <v>4170</v>
      </c>
      <c r="D14" s="20">
        <v>3087.5</v>
      </c>
      <c r="E14" s="20">
        <v>3162.5</v>
      </c>
      <c r="G14" s="1">
        <v>2021</v>
      </c>
      <c r="H14" s="1">
        <v>457</v>
      </c>
      <c r="I14" s="1">
        <v>98.905659</v>
      </c>
      <c r="J14" s="1">
        <v>44.022623000000003</v>
      </c>
      <c r="K14" s="1">
        <v>220.27176</v>
      </c>
    </row>
    <row r="15" spans="1:11" x14ac:dyDescent="0.35">
      <c r="A15" s="1">
        <v>2021</v>
      </c>
      <c r="B15" s="14">
        <v>7300</v>
      </c>
      <c r="C15" s="14">
        <v>4110</v>
      </c>
      <c r="D15" s="14">
        <v>3375</v>
      </c>
      <c r="E15" s="20">
        <v>3512.5</v>
      </c>
      <c r="G15" s="1">
        <v>2022</v>
      </c>
      <c r="H15" s="1">
        <v>155</v>
      </c>
      <c r="I15" s="1">
        <v>174.25147000000001</v>
      </c>
      <c r="J15" s="1">
        <v>146.29687999999999</v>
      </c>
      <c r="K15" s="1">
        <v>360.63556</v>
      </c>
    </row>
    <row r="16" spans="1:11" x14ac:dyDescent="0.35">
      <c r="A16" s="1">
        <v>2022</v>
      </c>
      <c r="B16" s="14">
        <v>8550</v>
      </c>
      <c r="C16" s="14">
        <v>4940</v>
      </c>
      <c r="D16" s="20">
        <v>4612.5</v>
      </c>
      <c r="E16" s="20">
        <v>4962.5</v>
      </c>
      <c r="G16" s="1">
        <v>2023</v>
      </c>
      <c r="H16" s="1">
        <v>212.5</v>
      </c>
      <c r="I16" s="1">
        <v>288.22138999999999</v>
      </c>
      <c r="J16" s="1">
        <v>392.78010999999998</v>
      </c>
      <c r="K16" s="1">
        <v>529.33676000000003</v>
      </c>
    </row>
    <row r="17" spans="1:6" x14ac:dyDescent="0.35">
      <c r="A17" s="1">
        <v>2023</v>
      </c>
      <c r="B17" s="14">
        <v>9400</v>
      </c>
      <c r="C17" s="14">
        <v>5725</v>
      </c>
      <c r="D17" s="14">
        <v>5375</v>
      </c>
      <c r="E17" s="14">
        <v>6050</v>
      </c>
    </row>
    <row r="20" spans="1:6" x14ac:dyDescent="0.35">
      <c r="A20" s="40"/>
      <c r="B20" s="41"/>
      <c r="C20" s="41" t="s">
        <v>39</v>
      </c>
      <c r="D20" s="41"/>
      <c r="E20" s="42"/>
    </row>
    <row r="21" spans="1:6" x14ac:dyDescent="0.35">
      <c r="A21" s="1" t="s">
        <v>1</v>
      </c>
      <c r="B21" s="1" t="s">
        <v>3</v>
      </c>
      <c r="C21" s="1" t="s">
        <v>4</v>
      </c>
      <c r="D21" s="1" t="s">
        <v>5</v>
      </c>
      <c r="E21" s="1" t="s">
        <v>6</v>
      </c>
      <c r="F21" s="45"/>
    </row>
    <row r="22" spans="1:6" x14ac:dyDescent="0.35">
      <c r="A22" s="1">
        <v>2013</v>
      </c>
      <c r="B22" s="1">
        <v>71</v>
      </c>
      <c r="C22" s="42">
        <v>225.232</v>
      </c>
      <c r="D22" s="1">
        <v>113.35</v>
      </c>
      <c r="E22" s="1">
        <v>199.33798999999999</v>
      </c>
    </row>
    <row r="23" spans="1:6" x14ac:dyDescent="0.35">
      <c r="A23" s="1"/>
      <c r="B23" s="1">
        <v>45</v>
      </c>
      <c r="C23" s="42"/>
      <c r="D23" s="1"/>
      <c r="E23" s="1"/>
    </row>
    <row r="24" spans="1:6" x14ac:dyDescent="0.35">
      <c r="A24" s="1">
        <v>2014</v>
      </c>
      <c r="B24" s="1">
        <v>75</v>
      </c>
      <c r="C24" s="1">
        <v>257.32709999999997</v>
      </c>
      <c r="D24" s="1">
        <v>145.71</v>
      </c>
      <c r="E24" s="1">
        <v>234.04825</v>
      </c>
    </row>
    <row r="25" spans="1:6" x14ac:dyDescent="0.35">
      <c r="A25" s="1"/>
      <c r="B25" s="1">
        <v>50</v>
      </c>
      <c r="C25" s="1"/>
      <c r="D25" s="1"/>
      <c r="E25" s="1"/>
    </row>
    <row r="26" spans="1:6" x14ac:dyDescent="0.35">
      <c r="A26" s="1">
        <v>2015</v>
      </c>
      <c r="B26" s="1">
        <v>98</v>
      </c>
      <c r="C26" s="1">
        <v>294.80099999999999</v>
      </c>
      <c r="D26" s="1">
        <v>144.54965000000001</v>
      </c>
      <c r="E26" s="14">
        <v>212.91292000000001</v>
      </c>
    </row>
    <row r="27" spans="1:6" x14ac:dyDescent="0.35">
      <c r="A27" s="1"/>
      <c r="B27" s="1">
        <v>55</v>
      </c>
      <c r="C27" s="1"/>
      <c r="D27" s="1"/>
      <c r="E27" s="1"/>
    </row>
    <row r="28" spans="1:6" x14ac:dyDescent="0.35">
      <c r="A28" s="1">
        <v>2016</v>
      </c>
      <c r="B28" s="1">
        <v>105</v>
      </c>
      <c r="C28" s="1">
        <v>311.66129999999998</v>
      </c>
      <c r="D28" s="1">
        <v>122.53382000000001</v>
      </c>
      <c r="E28" s="1">
        <v>261.44958000000003</v>
      </c>
    </row>
    <row r="29" spans="1:6" x14ac:dyDescent="0.35">
      <c r="A29" s="1"/>
      <c r="B29" s="1">
        <v>70</v>
      </c>
      <c r="C29" s="1"/>
      <c r="D29" s="1"/>
      <c r="E29" s="1"/>
    </row>
    <row r="30" spans="1:6" x14ac:dyDescent="0.35">
      <c r="A30" s="1">
        <v>2017</v>
      </c>
      <c r="B30" s="1">
        <v>130</v>
      </c>
      <c r="C30" s="1">
        <v>428.60548999999997</v>
      </c>
      <c r="D30" s="1">
        <v>212.80685</v>
      </c>
      <c r="E30" s="1">
        <v>266.26947000000001</v>
      </c>
    </row>
    <row r="31" spans="1:6" x14ac:dyDescent="0.35">
      <c r="A31" s="1"/>
      <c r="B31" s="1">
        <v>80</v>
      </c>
      <c r="C31" s="1"/>
      <c r="D31" s="1"/>
      <c r="E31" s="1"/>
    </row>
    <row r="32" spans="1:6" x14ac:dyDescent="0.35">
      <c r="A32" s="1">
        <v>2018</v>
      </c>
      <c r="B32" s="1">
        <v>175</v>
      </c>
      <c r="C32" s="1">
        <v>106.74687</v>
      </c>
      <c r="D32" s="1">
        <v>255.55547999999999</v>
      </c>
      <c r="E32" s="1">
        <v>199.02551</v>
      </c>
    </row>
    <row r="33" spans="1:5" x14ac:dyDescent="0.35">
      <c r="A33" s="1"/>
      <c r="B33" s="1">
        <v>85</v>
      </c>
      <c r="C33" s="1"/>
      <c r="D33" s="1"/>
      <c r="E33" s="1"/>
    </row>
    <row r="34" spans="1:5" x14ac:dyDescent="0.35">
      <c r="A34" s="1">
        <v>2019</v>
      </c>
      <c r="B34" s="1">
        <v>255</v>
      </c>
      <c r="C34" s="1">
        <v>132.17422999999999</v>
      </c>
      <c r="D34" s="1">
        <v>201.28954999999999</v>
      </c>
      <c r="E34" s="1">
        <v>241.21627000000001</v>
      </c>
    </row>
    <row r="35" spans="1:5" x14ac:dyDescent="0.35">
      <c r="A35" s="1"/>
      <c r="B35" s="1">
        <v>100</v>
      </c>
      <c r="C35" s="1"/>
      <c r="D35" s="1"/>
      <c r="E35" s="1"/>
    </row>
    <row r="36" spans="1:5" x14ac:dyDescent="0.35">
      <c r="A36" s="1">
        <v>2020</v>
      </c>
      <c r="B36" s="1">
        <v>455</v>
      </c>
      <c r="C36" s="1">
        <v>168.20219</v>
      </c>
      <c r="D36" s="1">
        <v>206.24107000000001</v>
      </c>
      <c r="E36" s="1">
        <v>353.34170999999998</v>
      </c>
    </row>
    <row r="37" spans="1:5" x14ac:dyDescent="0.35">
      <c r="A37" s="1"/>
      <c r="B37" s="1">
        <v>98</v>
      </c>
      <c r="C37" s="1"/>
      <c r="D37" s="1"/>
      <c r="E37" s="1"/>
    </row>
    <row r="38" spans="1:5" x14ac:dyDescent="0.35">
      <c r="A38" s="1">
        <v>2021</v>
      </c>
      <c r="B38" s="1">
        <v>432</v>
      </c>
      <c r="C38" s="1">
        <v>98.905659</v>
      </c>
      <c r="D38" s="1">
        <v>44.022623000000003</v>
      </c>
      <c r="E38" s="1">
        <v>220.27176</v>
      </c>
    </row>
    <row r="39" spans="1:5" x14ac:dyDescent="0.35">
      <c r="A39" s="1"/>
      <c r="B39" s="1">
        <v>25</v>
      </c>
      <c r="C39" s="1"/>
      <c r="D39" s="1"/>
      <c r="E39" s="1"/>
    </row>
    <row r="40" spans="1:5" x14ac:dyDescent="0.35">
      <c r="A40" s="1">
        <v>2022</v>
      </c>
      <c r="B40" s="1">
        <v>120</v>
      </c>
      <c r="C40" s="1">
        <v>174.25147000000001</v>
      </c>
      <c r="D40" s="1">
        <v>146.29687999999999</v>
      </c>
      <c r="E40" s="1">
        <v>360.63556</v>
      </c>
    </row>
    <row r="41" spans="1:5" x14ac:dyDescent="0.35">
      <c r="A41" s="1"/>
      <c r="B41" s="1">
        <v>35</v>
      </c>
      <c r="C41" s="1"/>
      <c r="D41" s="1"/>
      <c r="E41" s="1"/>
    </row>
    <row r="42" spans="1:5" x14ac:dyDescent="0.35">
      <c r="A42" s="1">
        <v>2023</v>
      </c>
      <c r="B42" s="1">
        <v>170</v>
      </c>
      <c r="C42" s="1">
        <v>57</v>
      </c>
      <c r="D42" s="1">
        <v>392.78010999999998</v>
      </c>
      <c r="E42" s="1">
        <v>529.33676000000003</v>
      </c>
    </row>
    <row r="43" spans="1:5" x14ac:dyDescent="0.35">
      <c r="A43" s="1"/>
      <c r="B43" s="1">
        <v>42.5</v>
      </c>
      <c r="C43" s="1">
        <v>231.22139000000001</v>
      </c>
      <c r="D43" s="1"/>
      <c r="E43" s="1"/>
    </row>
    <row r="44" spans="1:5" x14ac:dyDescent="0.35">
      <c r="A44" s="43"/>
    </row>
  </sheetData>
  <mergeCells count="6">
    <mergeCell ref="A1:E2"/>
    <mergeCell ref="A4:A5"/>
    <mergeCell ref="B4:E4"/>
    <mergeCell ref="G1:K2"/>
    <mergeCell ref="G4:G5"/>
    <mergeCell ref="H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CED5-6946-4FF8-80C5-1DFEA817548C}">
  <dimension ref="A1:O32"/>
  <sheetViews>
    <sheetView workbookViewId="0">
      <selection activeCell="O6" sqref="O6"/>
    </sheetView>
  </sheetViews>
  <sheetFormatPr defaultRowHeight="14.5" x14ac:dyDescent="0.35"/>
  <cols>
    <col min="1" max="1" width="10.7265625" customWidth="1"/>
    <col min="2" max="2" width="9.08984375" customWidth="1"/>
    <col min="3" max="3" width="10" customWidth="1"/>
    <col min="4" max="4" width="9.453125" customWidth="1"/>
    <col min="5" max="5" width="10.81640625" customWidth="1"/>
    <col min="8" max="8" width="8.08984375" customWidth="1"/>
    <col min="9" max="9" width="9.453125" customWidth="1"/>
    <col min="10" max="10" width="10.453125" customWidth="1"/>
    <col min="11" max="11" width="9.81640625" customWidth="1"/>
    <col min="12" max="12" width="7.81640625" customWidth="1"/>
    <col min="13" max="13" width="11.36328125" customWidth="1"/>
  </cols>
  <sheetData>
    <row r="1" spans="1:15" x14ac:dyDescent="0.35">
      <c r="A1" s="89" t="s">
        <v>13</v>
      </c>
      <c r="B1" s="89"/>
      <c r="C1" s="89"/>
      <c r="D1" s="89"/>
      <c r="E1" s="89"/>
      <c r="I1" s="89" t="s">
        <v>15</v>
      </c>
      <c r="J1" s="89"/>
      <c r="K1" s="89"/>
      <c r="L1" s="89"/>
      <c r="M1" s="89"/>
    </row>
    <row r="2" spans="1:15" x14ac:dyDescent="0.35">
      <c r="A2" s="89" t="s">
        <v>14</v>
      </c>
      <c r="B2" s="89"/>
      <c r="C2" s="89"/>
      <c r="D2" s="89"/>
      <c r="E2" s="89"/>
      <c r="I2" s="89" t="s">
        <v>14</v>
      </c>
      <c r="J2" s="89"/>
      <c r="K2" s="89"/>
      <c r="L2" s="89"/>
      <c r="M2" s="89"/>
    </row>
    <row r="3" spans="1:15" ht="15" thickBot="1" x14ac:dyDescent="0.4"/>
    <row r="4" spans="1:15" ht="15" thickBot="1" x14ac:dyDescent="0.4">
      <c r="A4" s="3" t="s">
        <v>1</v>
      </c>
      <c r="B4" s="4" t="s">
        <v>9</v>
      </c>
      <c r="C4" s="5" t="s">
        <v>10</v>
      </c>
      <c r="D4" s="6" t="s">
        <v>11</v>
      </c>
      <c r="E4" s="7" t="s">
        <v>12</v>
      </c>
      <c r="I4" s="3" t="s">
        <v>1</v>
      </c>
      <c r="J4" s="4" t="s">
        <v>9</v>
      </c>
      <c r="K4" s="5" t="s">
        <v>10</v>
      </c>
      <c r="L4" s="6" t="s">
        <v>11</v>
      </c>
      <c r="M4" s="7" t="s">
        <v>12</v>
      </c>
      <c r="O4">
        <f>VAR(E5:E15)</f>
        <v>1.9616196992613723E-2</v>
      </c>
    </row>
    <row r="5" spans="1:15" x14ac:dyDescent="0.35">
      <c r="A5" s="8">
        <v>2013</v>
      </c>
      <c r="B5" s="1">
        <v>1920</v>
      </c>
      <c r="C5" s="46">
        <v>1820</v>
      </c>
      <c r="D5" s="1">
        <v>116</v>
      </c>
      <c r="E5" s="11">
        <f>(B5-C5+D5)/C5</f>
        <v>0.11868131868131868</v>
      </c>
      <c r="I5" s="8">
        <v>2013</v>
      </c>
      <c r="J5" s="1">
        <v>1450</v>
      </c>
      <c r="K5" s="19">
        <v>1390</v>
      </c>
      <c r="L5" s="1">
        <v>225.232</v>
      </c>
      <c r="M5" s="11">
        <f t="shared" ref="M5:M15" si="0">(J5-K5+L5)/K5</f>
        <v>0.20520287769784171</v>
      </c>
      <c r="O5">
        <f>COVAR(E5:E15,M5:M15)</f>
        <v>2.8474340830549529E-2</v>
      </c>
    </row>
    <row r="6" spans="1:15" x14ac:dyDescent="0.35">
      <c r="A6" s="8">
        <v>2014</v>
      </c>
      <c r="B6" s="1">
        <v>2625</v>
      </c>
      <c r="C6" s="17">
        <v>1920</v>
      </c>
      <c r="D6" s="1">
        <v>125</v>
      </c>
      <c r="E6" s="11">
        <f t="shared" ref="E6:E15" si="1">(B6-C6+D6)/C6</f>
        <v>0.43229166666666669</v>
      </c>
      <c r="I6" s="8">
        <v>2014</v>
      </c>
      <c r="J6" s="1">
        <v>2330</v>
      </c>
      <c r="K6" s="15">
        <v>1450</v>
      </c>
      <c r="L6" s="1">
        <v>257.32709999999997</v>
      </c>
      <c r="M6" s="11">
        <f t="shared" si="0"/>
        <v>0.78436351724137932</v>
      </c>
    </row>
    <row r="7" spans="1:15" x14ac:dyDescent="0.35">
      <c r="A7" s="8">
        <v>2015</v>
      </c>
      <c r="B7" s="1">
        <v>2660</v>
      </c>
      <c r="C7" s="17">
        <v>2625</v>
      </c>
      <c r="D7" s="1">
        <v>153</v>
      </c>
      <c r="E7" s="11">
        <f t="shared" si="1"/>
        <v>7.1619047619047624E-2</v>
      </c>
      <c r="I7" s="8">
        <v>2015</v>
      </c>
      <c r="J7" s="1">
        <v>2285</v>
      </c>
      <c r="K7" s="15">
        <v>2330</v>
      </c>
      <c r="L7" s="1">
        <v>294.80099999999999</v>
      </c>
      <c r="M7" s="11">
        <f t="shared" si="0"/>
        <v>0.1072107296137339</v>
      </c>
    </row>
    <row r="8" spans="1:15" x14ac:dyDescent="0.35">
      <c r="A8" s="8">
        <v>2016</v>
      </c>
      <c r="B8" s="1">
        <v>3100</v>
      </c>
      <c r="C8" s="17">
        <v>2660</v>
      </c>
      <c r="D8" s="1">
        <v>175</v>
      </c>
      <c r="E8" s="11">
        <f t="shared" si="1"/>
        <v>0.23120300751879699</v>
      </c>
      <c r="I8" s="8">
        <v>2016</v>
      </c>
      <c r="J8" s="1">
        <v>2335</v>
      </c>
      <c r="K8" s="15">
        <v>2285</v>
      </c>
      <c r="L8" s="1">
        <v>311.66129999999998</v>
      </c>
      <c r="M8" s="11">
        <f t="shared" si="0"/>
        <v>0.15827628008752734</v>
      </c>
    </row>
    <row r="9" spans="1:15" x14ac:dyDescent="0.35">
      <c r="A9" s="8">
        <v>2017</v>
      </c>
      <c r="B9" s="1">
        <v>4380</v>
      </c>
      <c r="C9" s="17">
        <v>3100</v>
      </c>
      <c r="D9" s="1">
        <v>210</v>
      </c>
      <c r="E9" s="11">
        <f t="shared" si="1"/>
        <v>0.48064516129032259</v>
      </c>
      <c r="I9" s="8">
        <v>2017</v>
      </c>
      <c r="J9" s="1">
        <v>3640</v>
      </c>
      <c r="K9" s="15">
        <v>2335</v>
      </c>
      <c r="L9" s="1">
        <v>428.60548999999997</v>
      </c>
      <c r="M9" s="11">
        <f t="shared" si="0"/>
        <v>0.74244346466809419</v>
      </c>
    </row>
    <row r="10" spans="1:15" x14ac:dyDescent="0.35">
      <c r="A10" s="8">
        <v>2018</v>
      </c>
      <c r="B10" s="1">
        <v>5200</v>
      </c>
      <c r="C10" s="17">
        <v>4380</v>
      </c>
      <c r="D10" s="1">
        <v>260</v>
      </c>
      <c r="E10" s="11">
        <f t="shared" si="1"/>
        <v>0.24657534246575341</v>
      </c>
      <c r="I10" s="8">
        <v>2018</v>
      </c>
      <c r="J10" s="1">
        <v>3660</v>
      </c>
      <c r="K10" s="15">
        <v>3640</v>
      </c>
      <c r="L10" s="1">
        <v>106.74687</v>
      </c>
      <c r="M10" s="11">
        <f t="shared" si="0"/>
        <v>3.4820568681318678E-2</v>
      </c>
    </row>
    <row r="11" spans="1:15" x14ac:dyDescent="0.35">
      <c r="A11" s="8">
        <v>2019</v>
      </c>
      <c r="B11" s="1">
        <v>6685</v>
      </c>
      <c r="C11" s="17">
        <v>5200</v>
      </c>
      <c r="D11" s="1">
        <v>355</v>
      </c>
      <c r="E11" s="11">
        <f t="shared" si="1"/>
        <v>0.35384615384615387</v>
      </c>
      <c r="I11" s="8">
        <v>2019</v>
      </c>
      <c r="J11" s="1">
        <v>4400</v>
      </c>
      <c r="K11" s="15">
        <v>3660</v>
      </c>
      <c r="L11" s="1">
        <v>132.17422999999999</v>
      </c>
      <c r="M11" s="11">
        <f t="shared" si="0"/>
        <v>0.23829896994535518</v>
      </c>
    </row>
    <row r="12" spans="1:15" x14ac:dyDescent="0.35">
      <c r="A12" s="8">
        <v>2020</v>
      </c>
      <c r="B12" s="1">
        <v>6670</v>
      </c>
      <c r="C12" s="17">
        <v>6685</v>
      </c>
      <c r="D12" s="1">
        <v>553</v>
      </c>
      <c r="E12" s="11">
        <f t="shared" si="1"/>
        <v>8.0478683620044872E-2</v>
      </c>
      <c r="I12" s="8">
        <v>2020</v>
      </c>
      <c r="J12" s="1">
        <v>4170</v>
      </c>
      <c r="K12" s="15">
        <v>4400</v>
      </c>
      <c r="L12" s="1">
        <v>168.20219</v>
      </c>
      <c r="M12" s="11">
        <f t="shared" si="0"/>
        <v>-1.4044956818181818E-2</v>
      </c>
    </row>
    <row r="13" spans="1:15" x14ac:dyDescent="0.35">
      <c r="A13" s="8">
        <v>2021</v>
      </c>
      <c r="B13" s="1">
        <v>7300</v>
      </c>
      <c r="C13" s="17">
        <v>6670</v>
      </c>
      <c r="D13" s="1">
        <v>457</v>
      </c>
      <c r="E13" s="11">
        <f t="shared" si="1"/>
        <v>0.16296851574212892</v>
      </c>
      <c r="I13" s="8">
        <v>2021</v>
      </c>
      <c r="J13" s="1">
        <v>4110</v>
      </c>
      <c r="K13" s="15">
        <v>4170</v>
      </c>
      <c r="L13" s="1">
        <v>98.905659</v>
      </c>
      <c r="M13" s="11">
        <f t="shared" si="0"/>
        <v>9.329894244604316E-3</v>
      </c>
    </row>
    <row r="14" spans="1:15" x14ac:dyDescent="0.35">
      <c r="A14" s="8">
        <v>2022</v>
      </c>
      <c r="B14" s="1">
        <v>8550</v>
      </c>
      <c r="C14" s="17">
        <v>7300</v>
      </c>
      <c r="D14" s="1">
        <v>155</v>
      </c>
      <c r="E14" s="11">
        <f t="shared" si="1"/>
        <v>0.19246575342465752</v>
      </c>
      <c r="I14" s="8">
        <v>2022</v>
      </c>
      <c r="J14" s="1">
        <v>4940</v>
      </c>
      <c r="K14" s="15">
        <v>4110</v>
      </c>
      <c r="L14" s="1">
        <v>174.25147000000001</v>
      </c>
      <c r="M14" s="11">
        <f t="shared" si="0"/>
        <v>0.24434342335766424</v>
      </c>
    </row>
    <row r="15" spans="1:15" ht="15" thickBot="1" x14ac:dyDescent="0.4">
      <c r="A15" s="8">
        <v>2023</v>
      </c>
      <c r="B15" s="1">
        <v>9400</v>
      </c>
      <c r="C15" s="18">
        <v>8550</v>
      </c>
      <c r="D15" s="1">
        <v>212.5</v>
      </c>
      <c r="E15" s="13">
        <f t="shared" si="1"/>
        <v>0.12426900584795321</v>
      </c>
      <c r="I15" s="8">
        <v>2023</v>
      </c>
      <c r="J15" s="1">
        <v>5725</v>
      </c>
      <c r="K15" s="16">
        <v>4940</v>
      </c>
      <c r="L15" s="1">
        <v>288.22138999999999</v>
      </c>
      <c r="M15" s="13">
        <f t="shared" si="0"/>
        <v>0.21725129352226719</v>
      </c>
    </row>
    <row r="18" spans="1:13" x14ac:dyDescent="0.35">
      <c r="A18" s="89" t="s">
        <v>16</v>
      </c>
      <c r="B18" s="89"/>
      <c r="C18" s="89"/>
      <c r="D18" s="89"/>
      <c r="E18" s="89"/>
      <c r="I18" s="89" t="s">
        <v>17</v>
      </c>
      <c r="J18" s="89"/>
      <c r="K18" s="89"/>
      <c r="L18" s="89"/>
      <c r="M18" s="89"/>
    </row>
    <row r="19" spans="1:13" x14ac:dyDescent="0.35">
      <c r="A19" s="89" t="s">
        <v>14</v>
      </c>
      <c r="B19" s="89"/>
      <c r="C19" s="89"/>
      <c r="D19" s="89"/>
      <c r="E19" s="89"/>
      <c r="I19" s="89" t="s">
        <v>14</v>
      </c>
      <c r="J19" s="89"/>
      <c r="K19" s="89"/>
      <c r="L19" s="89"/>
      <c r="M19" s="89"/>
    </row>
    <row r="20" spans="1:13" ht="15" thickBot="1" x14ac:dyDescent="0.4"/>
    <row r="21" spans="1:13" ht="15" thickBot="1" x14ac:dyDescent="0.4">
      <c r="A21" s="3" t="s">
        <v>1</v>
      </c>
      <c r="B21" s="4" t="s">
        <v>9</v>
      </c>
      <c r="C21" s="5" t="s">
        <v>10</v>
      </c>
      <c r="D21" s="6" t="s">
        <v>11</v>
      </c>
      <c r="E21" s="7" t="s">
        <v>12</v>
      </c>
      <c r="I21" s="3" t="s">
        <v>1</v>
      </c>
      <c r="J21" s="4" t="s">
        <v>9</v>
      </c>
      <c r="K21" s="5" t="s">
        <v>10</v>
      </c>
      <c r="L21" s="6" t="s">
        <v>11</v>
      </c>
      <c r="M21" s="7" t="s">
        <v>12</v>
      </c>
    </row>
    <row r="22" spans="1:13" x14ac:dyDescent="0.35">
      <c r="A22" s="8">
        <v>2013</v>
      </c>
      <c r="B22" s="14">
        <v>1975</v>
      </c>
      <c r="C22" s="19">
        <v>1850</v>
      </c>
      <c r="D22" s="1">
        <v>113.35</v>
      </c>
      <c r="E22" s="11">
        <f t="shared" ref="E22:E32" si="2">(B22-C22+D22)/C22</f>
        <v>0.12883783783783784</v>
      </c>
      <c r="I22" s="8">
        <v>2013</v>
      </c>
      <c r="J22" s="20">
        <v>1962.5</v>
      </c>
      <c r="K22" s="19">
        <v>2025</v>
      </c>
      <c r="L22" s="1">
        <v>199.33798999999999</v>
      </c>
      <c r="M22" s="11">
        <f t="shared" ref="M22:M32" si="3">(J22-K22+L22)/K22</f>
        <v>6.7574316049382716E-2</v>
      </c>
    </row>
    <row r="23" spans="1:13" x14ac:dyDescent="0.35">
      <c r="A23" s="8">
        <v>2014</v>
      </c>
      <c r="B23" s="14">
        <v>3050</v>
      </c>
      <c r="C23" s="15">
        <v>1975</v>
      </c>
      <c r="D23" s="1">
        <v>145.71</v>
      </c>
      <c r="E23" s="11">
        <f t="shared" si="2"/>
        <v>0.6180810126582279</v>
      </c>
      <c r="I23" s="8">
        <v>2014</v>
      </c>
      <c r="J23" s="20">
        <v>2693.75</v>
      </c>
      <c r="K23" s="20">
        <v>1962.5</v>
      </c>
      <c r="L23" s="1">
        <v>234.04825</v>
      </c>
      <c r="M23" s="11">
        <f t="shared" si="3"/>
        <v>0.49187171974522298</v>
      </c>
    </row>
    <row r="24" spans="1:13" x14ac:dyDescent="0.35">
      <c r="A24" s="8">
        <v>2015</v>
      </c>
      <c r="B24" s="14">
        <v>2945</v>
      </c>
      <c r="C24" s="15">
        <v>3050</v>
      </c>
      <c r="D24" s="1">
        <v>144.54965000000001</v>
      </c>
      <c r="E24" s="11">
        <f t="shared" si="2"/>
        <v>1.2967098360655743E-2</v>
      </c>
      <c r="I24" s="8">
        <v>2015</v>
      </c>
      <c r="J24" s="20">
        <v>2312.5</v>
      </c>
      <c r="K24" s="20">
        <v>2693.75</v>
      </c>
      <c r="L24" s="1">
        <v>212.91292000000001</v>
      </c>
      <c r="M24" s="11">
        <f t="shared" si="3"/>
        <v>-6.2491723433874706E-2</v>
      </c>
    </row>
    <row r="25" spans="1:13" x14ac:dyDescent="0.35">
      <c r="A25" s="8">
        <v>2016</v>
      </c>
      <c r="B25" s="20">
        <v>2762.5</v>
      </c>
      <c r="C25" s="15">
        <v>2945</v>
      </c>
      <c r="D25" s="1">
        <v>122.53382000000001</v>
      </c>
      <c r="E25" s="11">
        <f t="shared" si="2"/>
        <v>-2.0362030560271645E-2</v>
      </c>
      <c r="I25" s="8">
        <v>2016</v>
      </c>
      <c r="J25" s="20">
        <v>2893.75</v>
      </c>
      <c r="K25" s="20">
        <v>2312.5</v>
      </c>
      <c r="L25" s="1">
        <v>261.44958000000003</v>
      </c>
      <c r="M25" s="11">
        <f t="shared" si="3"/>
        <v>0.36441062918918915</v>
      </c>
    </row>
    <row r="26" spans="1:13" x14ac:dyDescent="0.35">
      <c r="A26" s="8">
        <v>2017</v>
      </c>
      <c r="B26" s="14">
        <v>4950</v>
      </c>
      <c r="C26" s="20">
        <v>2762.5</v>
      </c>
      <c r="D26" s="1">
        <v>212.80685</v>
      </c>
      <c r="E26" s="11">
        <f t="shared" si="2"/>
        <v>0.86888935746606333</v>
      </c>
      <c r="I26" s="8">
        <v>2017</v>
      </c>
      <c r="J26" s="14">
        <v>4000</v>
      </c>
      <c r="K26" s="20">
        <v>2893.75</v>
      </c>
      <c r="L26" s="1">
        <v>266.26947000000001</v>
      </c>
      <c r="M26" s="11">
        <f t="shared" si="3"/>
        <v>0.47430478444924407</v>
      </c>
    </row>
    <row r="27" spans="1:13" x14ac:dyDescent="0.35">
      <c r="A27" s="8">
        <v>2018</v>
      </c>
      <c r="B27" s="14">
        <v>4400</v>
      </c>
      <c r="C27" s="15">
        <v>4950</v>
      </c>
      <c r="D27" s="1">
        <v>255.55547999999999</v>
      </c>
      <c r="E27" s="11">
        <f t="shared" si="2"/>
        <v>-5.9483741414141415E-2</v>
      </c>
      <c r="I27" s="8">
        <v>2018</v>
      </c>
      <c r="J27" s="20">
        <v>3687.5</v>
      </c>
      <c r="K27" s="14">
        <v>4000</v>
      </c>
      <c r="L27" s="1">
        <v>199.02551</v>
      </c>
      <c r="M27" s="11">
        <f t="shared" si="3"/>
        <v>-2.8368622499999999E-2</v>
      </c>
    </row>
    <row r="28" spans="1:13" x14ac:dyDescent="0.35">
      <c r="A28" s="8">
        <v>2019</v>
      </c>
      <c r="B28" s="14">
        <v>3925</v>
      </c>
      <c r="C28" s="15">
        <v>4400</v>
      </c>
      <c r="D28" s="1">
        <v>201.28954999999999</v>
      </c>
      <c r="E28" s="11">
        <f t="shared" si="2"/>
        <v>-6.2206920454545463E-2</v>
      </c>
      <c r="I28" s="8">
        <v>2019</v>
      </c>
      <c r="J28" s="20">
        <v>3837.5</v>
      </c>
      <c r="K28" s="20">
        <v>3687.5</v>
      </c>
      <c r="L28" s="1">
        <v>241.21627000000001</v>
      </c>
      <c r="M28" s="11">
        <f t="shared" si="3"/>
        <v>0.10609254779661018</v>
      </c>
    </row>
    <row r="29" spans="1:13" x14ac:dyDescent="0.35">
      <c r="A29" s="8">
        <v>2020</v>
      </c>
      <c r="B29" s="20">
        <v>3087.5</v>
      </c>
      <c r="C29" s="15">
        <v>3925</v>
      </c>
      <c r="D29" s="1">
        <v>206.24107000000001</v>
      </c>
      <c r="E29" s="11">
        <f t="shared" si="2"/>
        <v>-0.16083030063694267</v>
      </c>
      <c r="I29" s="8">
        <v>2020</v>
      </c>
      <c r="J29" s="20">
        <v>3162.5</v>
      </c>
      <c r="K29" s="20">
        <v>3837.5</v>
      </c>
      <c r="L29" s="1">
        <v>353.34170999999998</v>
      </c>
      <c r="M29" s="11">
        <f t="shared" si="3"/>
        <v>-8.3819749837133556E-2</v>
      </c>
    </row>
    <row r="30" spans="1:13" x14ac:dyDescent="0.35">
      <c r="A30" s="8">
        <v>2021</v>
      </c>
      <c r="B30" s="14">
        <v>3375</v>
      </c>
      <c r="C30" s="20">
        <v>3087.5</v>
      </c>
      <c r="D30" s="1">
        <v>44.022623000000003</v>
      </c>
      <c r="E30" s="11">
        <f t="shared" si="2"/>
        <v>0.10737574834008097</v>
      </c>
      <c r="I30" s="8">
        <v>2021</v>
      </c>
      <c r="J30" s="20">
        <v>3512.5</v>
      </c>
      <c r="K30" s="20">
        <v>3162.5</v>
      </c>
      <c r="L30" s="1">
        <v>220.27176</v>
      </c>
      <c r="M30" s="11">
        <f t="shared" si="3"/>
        <v>0.1803230861660079</v>
      </c>
    </row>
    <row r="31" spans="1:13" x14ac:dyDescent="0.35">
      <c r="A31" s="8">
        <v>2022</v>
      </c>
      <c r="B31" s="20">
        <v>4612.5</v>
      </c>
      <c r="C31" s="15">
        <v>3375</v>
      </c>
      <c r="D31" s="1">
        <v>146.29687999999999</v>
      </c>
      <c r="E31" s="11">
        <f t="shared" si="2"/>
        <v>0.41001389037037034</v>
      </c>
      <c r="I31" s="8">
        <v>2022</v>
      </c>
      <c r="J31" s="20">
        <v>4962.5</v>
      </c>
      <c r="K31" s="20">
        <v>3512.5</v>
      </c>
      <c r="L31" s="1">
        <v>360.63556</v>
      </c>
      <c r="M31" s="11">
        <f t="shared" si="3"/>
        <v>0.51548343345195724</v>
      </c>
    </row>
    <row r="32" spans="1:13" ht="15" thickBot="1" x14ac:dyDescent="0.4">
      <c r="A32" s="8">
        <v>2023</v>
      </c>
      <c r="B32" s="14">
        <v>5375</v>
      </c>
      <c r="C32" s="20">
        <v>4612.5</v>
      </c>
      <c r="D32" s="1">
        <v>392.78010999999998</v>
      </c>
      <c r="E32" s="13">
        <f t="shared" si="2"/>
        <v>0.25046723252032521</v>
      </c>
      <c r="I32" s="8">
        <v>2023</v>
      </c>
      <c r="J32" s="14">
        <v>6050</v>
      </c>
      <c r="K32" s="20">
        <v>4962.5</v>
      </c>
      <c r="L32" s="1">
        <v>529.33676000000003</v>
      </c>
      <c r="M32" s="13">
        <f t="shared" si="3"/>
        <v>0.3258109340050378</v>
      </c>
    </row>
  </sheetData>
  <mergeCells count="8">
    <mergeCell ref="A19:E19"/>
    <mergeCell ref="I18:M18"/>
    <mergeCell ref="I19:M19"/>
    <mergeCell ref="A1:E1"/>
    <mergeCell ref="A2:E2"/>
    <mergeCell ref="I1:M1"/>
    <mergeCell ref="I2:M2"/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B72D-94F7-4F56-896F-2A629AF37EAD}">
  <dimension ref="A1:K17"/>
  <sheetViews>
    <sheetView workbookViewId="0">
      <selection activeCell="B17" sqref="B17"/>
    </sheetView>
  </sheetViews>
  <sheetFormatPr defaultRowHeight="14.5" x14ac:dyDescent="0.35"/>
  <cols>
    <col min="2" max="2" width="13.36328125" customWidth="1"/>
    <col min="3" max="3" width="12.453125" customWidth="1"/>
    <col min="4" max="4" width="13.7265625" customWidth="1"/>
    <col min="5" max="5" width="10.54296875" customWidth="1"/>
  </cols>
  <sheetData>
    <row r="1" spans="1:11" x14ac:dyDescent="0.35">
      <c r="A1" s="89" t="s">
        <v>18</v>
      </c>
      <c r="B1" s="89"/>
      <c r="C1" s="89"/>
      <c r="D1" s="89"/>
      <c r="E1" s="89"/>
      <c r="F1" s="28"/>
      <c r="G1" s="28"/>
      <c r="H1" s="28"/>
      <c r="I1" s="28"/>
      <c r="J1" s="28"/>
      <c r="K1" s="28"/>
    </row>
    <row r="2" spans="1:11" x14ac:dyDescent="0.35">
      <c r="A2" s="89" t="s">
        <v>14</v>
      </c>
      <c r="B2" s="89"/>
      <c r="C2" s="89"/>
      <c r="D2" s="89"/>
      <c r="E2" s="89"/>
      <c r="F2" s="28"/>
      <c r="G2" s="28"/>
      <c r="H2" s="28"/>
      <c r="I2" s="28"/>
      <c r="J2" s="28"/>
      <c r="K2" s="28"/>
    </row>
    <row r="3" spans="1:11" ht="15" thickBot="1" x14ac:dyDescent="0.4"/>
    <row r="4" spans="1:11" ht="15" thickBot="1" x14ac:dyDescent="0.4">
      <c r="A4" s="90" t="s">
        <v>1</v>
      </c>
      <c r="B4" s="92" t="s">
        <v>19</v>
      </c>
      <c r="C4" s="93"/>
      <c r="D4" s="93"/>
      <c r="E4" s="94"/>
    </row>
    <row r="5" spans="1:11" ht="15" thickBot="1" x14ac:dyDescent="0.4">
      <c r="A5" s="91"/>
      <c r="B5" s="21" t="s">
        <v>3</v>
      </c>
      <c r="C5" s="22" t="s">
        <v>4</v>
      </c>
      <c r="D5" s="22" t="s">
        <v>5</v>
      </c>
      <c r="E5" s="23" t="s">
        <v>6</v>
      </c>
    </row>
    <row r="6" spans="1:11" x14ac:dyDescent="0.35">
      <c r="A6" s="10">
        <v>2013</v>
      </c>
      <c r="B6" s="11">
        <f>'TINGKAT RETURN'!E5</f>
        <v>0.11868131868131868</v>
      </c>
      <c r="C6" s="25">
        <f>'TINGKAT RETURN'!M5</f>
        <v>0.20520287769784171</v>
      </c>
      <c r="D6" s="25">
        <f>'TINGKAT RETURN'!E22</f>
        <v>0.12883783783783784</v>
      </c>
      <c r="E6" s="11">
        <f>'TINGKAT RETURN'!M22</f>
        <v>6.7574316049382716E-2</v>
      </c>
    </row>
    <row r="7" spans="1:11" x14ac:dyDescent="0.35">
      <c r="A7" s="10">
        <v>2014</v>
      </c>
      <c r="B7" s="11">
        <f>'TINGKAT RETURN'!E6</f>
        <v>0.43229166666666669</v>
      </c>
      <c r="C7" s="25">
        <f>'TINGKAT RETURN'!M6</f>
        <v>0.78436351724137932</v>
      </c>
      <c r="D7" s="25">
        <f>'TINGKAT RETURN'!E23</f>
        <v>0.6180810126582279</v>
      </c>
      <c r="E7" s="11">
        <f>'TINGKAT RETURN'!M23</f>
        <v>0.49187171974522298</v>
      </c>
    </row>
    <row r="8" spans="1:11" x14ac:dyDescent="0.35">
      <c r="A8" s="10">
        <v>2015</v>
      </c>
      <c r="B8" s="11">
        <f>'TINGKAT RETURN'!E7</f>
        <v>7.1619047619047624E-2</v>
      </c>
      <c r="C8" s="25">
        <f>'TINGKAT RETURN'!M7</f>
        <v>0.1072107296137339</v>
      </c>
      <c r="D8" s="25">
        <f>'TINGKAT RETURN'!E24</f>
        <v>1.2967098360655743E-2</v>
      </c>
      <c r="E8" s="11">
        <f>'TINGKAT RETURN'!M24</f>
        <v>-6.2491723433874706E-2</v>
      </c>
    </row>
    <row r="9" spans="1:11" x14ac:dyDescent="0.35">
      <c r="A9" s="10">
        <v>2016</v>
      </c>
      <c r="B9" s="11">
        <f>'TINGKAT RETURN'!E8</f>
        <v>0.23120300751879699</v>
      </c>
      <c r="C9" s="25">
        <f>'TINGKAT RETURN'!M8</f>
        <v>0.15827628008752734</v>
      </c>
      <c r="D9" s="25">
        <f>'TINGKAT RETURN'!E25</f>
        <v>-2.0362030560271645E-2</v>
      </c>
      <c r="E9" s="11">
        <f>'TINGKAT RETURN'!M25</f>
        <v>0.36441062918918915</v>
      </c>
    </row>
    <row r="10" spans="1:11" x14ac:dyDescent="0.35">
      <c r="A10" s="10">
        <v>2017</v>
      </c>
      <c r="B10" s="11">
        <f>'TINGKAT RETURN'!E9</f>
        <v>0.48064516129032259</v>
      </c>
      <c r="C10" s="25">
        <f>'TINGKAT RETURN'!M9</f>
        <v>0.74244346466809419</v>
      </c>
      <c r="D10" s="25">
        <f>'TINGKAT RETURN'!E26</f>
        <v>0.86888935746606333</v>
      </c>
      <c r="E10" s="11">
        <f>'TINGKAT RETURN'!M26</f>
        <v>0.47430478444924407</v>
      </c>
    </row>
    <row r="11" spans="1:11" x14ac:dyDescent="0.35">
      <c r="A11" s="10">
        <v>2018</v>
      </c>
      <c r="B11" s="11">
        <f>'TINGKAT RETURN'!E10</f>
        <v>0.24657534246575341</v>
      </c>
      <c r="C11" s="25">
        <f>'TINGKAT RETURN'!M10</f>
        <v>3.4820568681318678E-2</v>
      </c>
      <c r="D11" s="25">
        <f>'TINGKAT RETURN'!E27</f>
        <v>-5.9483741414141415E-2</v>
      </c>
      <c r="E11" s="11">
        <f>'TINGKAT RETURN'!M27</f>
        <v>-2.8368622499999999E-2</v>
      </c>
    </row>
    <row r="12" spans="1:11" x14ac:dyDescent="0.35">
      <c r="A12" s="10">
        <v>2019</v>
      </c>
      <c r="B12" s="11">
        <f>'TINGKAT RETURN'!E11</f>
        <v>0.35384615384615387</v>
      </c>
      <c r="C12" s="25">
        <f>'TINGKAT RETURN'!M11</f>
        <v>0.23829896994535518</v>
      </c>
      <c r="D12" s="25">
        <f>'TINGKAT RETURN'!E28</f>
        <v>-6.2206920454545463E-2</v>
      </c>
      <c r="E12" s="11">
        <f>'TINGKAT RETURN'!M28</f>
        <v>0.10609254779661018</v>
      </c>
    </row>
    <row r="13" spans="1:11" x14ac:dyDescent="0.35">
      <c r="A13" s="10">
        <v>2020</v>
      </c>
      <c r="B13" s="11">
        <f>'TINGKAT RETURN'!E12</f>
        <v>8.0478683620044872E-2</v>
      </c>
      <c r="C13" s="25">
        <f>'TINGKAT RETURN'!M12</f>
        <v>-1.4044956818181818E-2</v>
      </c>
      <c r="D13" s="25">
        <f>'TINGKAT RETURN'!E29</f>
        <v>-0.16083030063694267</v>
      </c>
      <c r="E13" s="11">
        <f>'TINGKAT RETURN'!M29</f>
        <v>-8.3819749837133556E-2</v>
      </c>
    </row>
    <row r="14" spans="1:11" x14ac:dyDescent="0.35">
      <c r="A14" s="10">
        <v>2021</v>
      </c>
      <c r="B14" s="11">
        <f>'TINGKAT RETURN'!E13</f>
        <v>0.16296851574212892</v>
      </c>
      <c r="C14" s="25">
        <f>'TINGKAT RETURN'!M13</f>
        <v>9.329894244604316E-3</v>
      </c>
      <c r="D14" s="25">
        <f>'TINGKAT RETURN'!E30</f>
        <v>0.10737574834008097</v>
      </c>
      <c r="E14" s="11">
        <f>'TINGKAT RETURN'!M30</f>
        <v>0.1803230861660079</v>
      </c>
    </row>
    <row r="15" spans="1:11" x14ac:dyDescent="0.35">
      <c r="A15" s="10">
        <v>2022</v>
      </c>
      <c r="B15" s="11">
        <f>'TINGKAT RETURN'!E14</f>
        <v>0.19246575342465752</v>
      </c>
      <c r="C15" s="25">
        <f>'TINGKAT RETURN'!M14</f>
        <v>0.24434342335766424</v>
      </c>
      <c r="D15" s="25">
        <f>'TINGKAT RETURN'!E31</f>
        <v>0.41001389037037034</v>
      </c>
      <c r="E15" s="11">
        <f>'TINGKAT RETURN'!M31</f>
        <v>0.51548343345195724</v>
      </c>
    </row>
    <row r="16" spans="1:11" x14ac:dyDescent="0.35">
      <c r="A16" s="10">
        <v>2023</v>
      </c>
      <c r="B16" s="11">
        <f>'TINGKAT RETURN'!E15</f>
        <v>0.12426900584795321</v>
      </c>
      <c r="C16" s="25">
        <f>'TINGKAT RETURN'!M15</f>
        <v>0.21725129352226719</v>
      </c>
      <c r="D16" s="25">
        <f>'TINGKAT RETURN'!E32</f>
        <v>0.25046723252032521</v>
      </c>
      <c r="E16" s="11">
        <f>'TINGKAT RETURN'!M32</f>
        <v>0.3258109340050378</v>
      </c>
    </row>
    <row r="17" spans="1:5" ht="15" thickBot="1" x14ac:dyDescent="0.4">
      <c r="A17" s="12" t="s">
        <v>20</v>
      </c>
      <c r="B17" s="26">
        <f>SUM(B6:B16)</f>
        <v>2.4950436567228444</v>
      </c>
      <c r="C17" s="26">
        <f>SUM(C6:C16)</f>
        <v>2.7274960622416038</v>
      </c>
      <c r="D17" s="26">
        <f>SUM(D6:D16)</f>
        <v>2.0937491844876606</v>
      </c>
      <c r="E17" s="27">
        <f>SUM(E6:E16)</f>
        <v>2.3511913550816437</v>
      </c>
    </row>
  </sheetData>
  <mergeCells count="4">
    <mergeCell ref="A4:A5"/>
    <mergeCell ref="B4:E4"/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FC4F-DEA7-46F1-A683-11C629AEE19B}">
  <dimension ref="A1:D9"/>
  <sheetViews>
    <sheetView workbookViewId="0">
      <selection activeCell="B7" sqref="B7"/>
    </sheetView>
  </sheetViews>
  <sheetFormatPr defaultRowHeight="14.5" x14ac:dyDescent="0.35"/>
  <cols>
    <col min="4" max="4" width="11" customWidth="1"/>
  </cols>
  <sheetData>
    <row r="1" spans="1:4" x14ac:dyDescent="0.35">
      <c r="A1" s="89" t="s">
        <v>21</v>
      </c>
      <c r="B1" s="89"/>
      <c r="C1" s="89"/>
      <c r="D1" s="89"/>
    </row>
    <row r="2" spans="1:4" x14ac:dyDescent="0.35">
      <c r="A2" s="89" t="s">
        <v>22</v>
      </c>
      <c r="B2" s="89"/>
      <c r="C2" s="89"/>
      <c r="D2" s="89"/>
    </row>
    <row r="3" spans="1:4" ht="15" thickBot="1" x14ac:dyDescent="0.4"/>
    <row r="4" spans="1:4" x14ac:dyDescent="0.35">
      <c r="A4" s="95" t="s">
        <v>19</v>
      </c>
      <c r="B4" s="97" t="s">
        <v>23</v>
      </c>
      <c r="C4" s="99" t="s">
        <v>24</v>
      </c>
      <c r="D4" s="101" t="s">
        <v>25</v>
      </c>
    </row>
    <row r="5" spans="1:4" ht="15" thickBot="1" x14ac:dyDescent="0.4">
      <c r="A5" s="96"/>
      <c r="B5" s="98"/>
      <c r="C5" s="100"/>
      <c r="D5" s="102"/>
    </row>
    <row r="6" spans="1:4" x14ac:dyDescent="0.35">
      <c r="A6" s="29" t="s">
        <v>3</v>
      </c>
      <c r="B6" s="24">
        <f>'TOTAL TINGKAT RETURN'!B17</f>
        <v>2.4950436567228444</v>
      </c>
      <c r="C6" s="2">
        <v>10</v>
      </c>
      <c r="D6" s="9">
        <f>B6/C6</f>
        <v>0.24950436567228446</v>
      </c>
    </row>
    <row r="7" spans="1:4" x14ac:dyDescent="0.35">
      <c r="A7" s="30" t="s">
        <v>4</v>
      </c>
      <c r="B7" s="25">
        <f>'TOTAL TINGKAT RETURN'!C17</f>
        <v>2.7274960622416038</v>
      </c>
      <c r="C7" s="2">
        <v>10</v>
      </c>
      <c r="D7" s="11">
        <f t="shared" ref="D7:D9" si="0">B7/C7</f>
        <v>0.27274960622416039</v>
      </c>
    </row>
    <row r="8" spans="1:4" x14ac:dyDescent="0.35">
      <c r="A8" s="30" t="s">
        <v>5</v>
      </c>
      <c r="B8" s="25">
        <f>'TOTAL TINGKAT RETURN'!D17</f>
        <v>2.0937491844876606</v>
      </c>
      <c r="C8" s="2">
        <v>10</v>
      </c>
      <c r="D8" s="11">
        <f t="shared" si="0"/>
        <v>0.20937491844876605</v>
      </c>
    </row>
    <row r="9" spans="1:4" x14ac:dyDescent="0.35">
      <c r="A9" s="30" t="s">
        <v>6</v>
      </c>
      <c r="B9" s="25">
        <f>'TOTAL TINGKAT RETURN'!E17</f>
        <v>2.3511913550816437</v>
      </c>
      <c r="C9" s="2">
        <v>10</v>
      </c>
      <c r="D9" s="11">
        <f t="shared" si="0"/>
        <v>0.23511913550816438</v>
      </c>
    </row>
  </sheetData>
  <mergeCells count="6">
    <mergeCell ref="A1:D1"/>
    <mergeCell ref="A2:D2"/>
    <mergeCell ref="A4:A5"/>
    <mergeCell ref="B4:B5"/>
    <mergeCell ref="C4:C5"/>
    <mergeCell ref="D4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D077-F90D-4625-9257-AFE4DE16F8A1}">
  <dimension ref="A1:O22"/>
  <sheetViews>
    <sheetView zoomScale="82" zoomScaleNormal="82" workbookViewId="0">
      <selection activeCell="N6" sqref="N6"/>
    </sheetView>
  </sheetViews>
  <sheetFormatPr defaultRowHeight="14.5" x14ac:dyDescent="0.35"/>
  <cols>
    <col min="2" max="2" width="8.81640625" customWidth="1"/>
    <col min="3" max="3" width="9.08984375" customWidth="1"/>
    <col min="4" max="4" width="7.90625" customWidth="1"/>
    <col min="5" max="5" width="8.54296875" customWidth="1"/>
    <col min="13" max="13" width="11.54296875" customWidth="1"/>
    <col min="14" max="14" width="9.1796875" customWidth="1"/>
  </cols>
  <sheetData>
    <row r="1" spans="1:15" x14ac:dyDescent="0.35">
      <c r="A1" s="89" t="s">
        <v>26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15" thickBot="1" x14ac:dyDescent="0.4"/>
    <row r="4" spans="1:15" x14ac:dyDescent="0.35">
      <c r="A4" s="104" t="s">
        <v>19</v>
      </c>
      <c r="B4" s="106" t="s">
        <v>27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7" t="s">
        <v>25</v>
      </c>
      <c r="N4" s="97" t="s">
        <v>28</v>
      </c>
      <c r="O4" s="101" t="s">
        <v>29</v>
      </c>
    </row>
    <row r="5" spans="1:15" ht="15" thickBot="1" x14ac:dyDescent="0.4">
      <c r="A5" s="105"/>
      <c r="B5" s="31">
        <v>2013</v>
      </c>
      <c r="C5" s="31">
        <v>2014</v>
      </c>
      <c r="D5" s="31">
        <v>2015</v>
      </c>
      <c r="E5" s="31">
        <v>2016</v>
      </c>
      <c r="F5" s="31">
        <v>2017</v>
      </c>
      <c r="G5" s="31">
        <v>2018</v>
      </c>
      <c r="H5" s="31">
        <v>2019</v>
      </c>
      <c r="I5" s="31">
        <v>2020</v>
      </c>
      <c r="J5" s="31">
        <v>2021</v>
      </c>
      <c r="K5" s="31">
        <v>2022</v>
      </c>
      <c r="L5" s="31">
        <v>2023</v>
      </c>
      <c r="M5" s="108"/>
      <c r="N5" s="98"/>
      <c r="O5" s="102"/>
    </row>
    <row r="6" spans="1:15" x14ac:dyDescent="0.35">
      <c r="A6" s="29" t="s">
        <v>3</v>
      </c>
      <c r="B6" s="32">
        <f>'TOTAL TINGKAT RETURN'!B6</f>
        <v>0.11868131868131868</v>
      </c>
      <c r="C6" s="32">
        <f>'TOTAL TINGKAT RETURN'!B7</f>
        <v>0.43229166666666669</v>
      </c>
      <c r="D6" s="32">
        <f>'TOTAL TINGKAT RETURN'!B8</f>
        <v>7.1619047619047624E-2</v>
      </c>
      <c r="E6" s="32">
        <f>'TOTAL TINGKAT RETURN'!B9</f>
        <v>0.23120300751879699</v>
      </c>
      <c r="F6" s="32">
        <f>'TOTAL TINGKAT RETURN'!B10</f>
        <v>0.48064516129032259</v>
      </c>
      <c r="G6" s="32">
        <f>'TOTAL TINGKAT RETURN'!B11</f>
        <v>0.24657534246575341</v>
      </c>
      <c r="H6" s="32">
        <f>'TOTAL TINGKAT RETURN'!B12</f>
        <v>0.35384615384615387</v>
      </c>
      <c r="I6" s="32">
        <f>'TOTAL TINGKAT RETURN'!B13</f>
        <v>8.0478683620044872E-2</v>
      </c>
      <c r="J6" s="32">
        <f>'TOTAL TINGKAT RETURN'!B14</f>
        <v>0.16296851574212892</v>
      </c>
      <c r="K6" s="32">
        <f>'TOTAL TINGKAT RETURN'!B15</f>
        <v>0.19246575342465752</v>
      </c>
      <c r="L6" s="32">
        <f>'TOTAL TINGKAT RETURN'!B16</f>
        <v>0.12426900584795321</v>
      </c>
      <c r="M6" s="32">
        <f>'EXPECTED RETURN'!D6</f>
        <v>0.24950436567228446</v>
      </c>
      <c r="N6" s="32">
        <f>((B6-M6)^2+(C6-M6)^2+(D6-M6)^2+(E6-M6)^2+(F6-M6)^2+(G6-M6)^2+(H6-M6)^2+(I6-M6)^2+(J6-M6)^2+(K6-M6)^2+(L6-M6)^2)/10</f>
        <v>2.0182128160700349E-2</v>
      </c>
      <c r="O6" s="33">
        <f>SQRT(N6)</f>
        <v>0.1420638172114925</v>
      </c>
    </row>
    <row r="7" spans="1:15" x14ac:dyDescent="0.35">
      <c r="A7" s="30" t="s">
        <v>4</v>
      </c>
      <c r="B7" s="34">
        <f>'TOTAL TINGKAT RETURN'!C6</f>
        <v>0.20520287769784171</v>
      </c>
      <c r="C7" s="34">
        <f>'TOTAL TINGKAT RETURN'!C7</f>
        <v>0.78436351724137932</v>
      </c>
      <c r="D7" s="34">
        <f>'TOTAL TINGKAT RETURN'!C8</f>
        <v>0.1072107296137339</v>
      </c>
      <c r="E7" s="34">
        <f>'TOTAL TINGKAT RETURN'!C9</f>
        <v>0.15827628008752734</v>
      </c>
      <c r="F7" s="34">
        <f>'TOTAL TINGKAT RETURN'!C10</f>
        <v>0.74244346466809419</v>
      </c>
      <c r="G7" s="34">
        <f>'TOTAL TINGKAT RETURN'!C11</f>
        <v>3.4820568681318678E-2</v>
      </c>
      <c r="H7" s="34">
        <f>'TOTAL TINGKAT RETURN'!C12</f>
        <v>0.23829896994535518</v>
      </c>
      <c r="I7" s="34">
        <f>'TOTAL TINGKAT RETURN'!C13</f>
        <v>-1.4044956818181818E-2</v>
      </c>
      <c r="J7" s="34">
        <f>'TOTAL TINGKAT RETURN'!C14</f>
        <v>9.329894244604316E-3</v>
      </c>
      <c r="K7" s="34">
        <f>'TOTAL TINGKAT RETURN'!C15</f>
        <v>0.24434342335766424</v>
      </c>
      <c r="L7" s="34">
        <f>'TOTAL TINGKAT RETURN'!C16</f>
        <v>0.21725129352226719</v>
      </c>
      <c r="M7" s="34">
        <f>'EXPECTED RETURN'!D7</f>
        <v>0.27274960622416039</v>
      </c>
      <c r="N7" s="32">
        <f>((B7-M7)^2+(C7-M7)^2+(D7-M7)^2+(E7-M7)^2+(F7-M7)^2+(G7-M7)^2+(H7-M7)^2+(I7-M7)^2+(J7-M7)^2+(K7-M7)^2+(L7-M7)^2)/10</f>
        <v>7.4075605044103876E-2</v>
      </c>
      <c r="O7" s="35">
        <f t="shared" ref="O7:O9" si="0">SQRT(N7)</f>
        <v>0.27216833953291458</v>
      </c>
    </row>
    <row r="8" spans="1:15" x14ac:dyDescent="0.35">
      <c r="A8" s="30" t="s">
        <v>5</v>
      </c>
      <c r="B8" s="34">
        <f>'TOTAL TINGKAT RETURN'!D6</f>
        <v>0.12883783783783784</v>
      </c>
      <c r="C8" s="34">
        <f>'TOTAL TINGKAT RETURN'!D7</f>
        <v>0.6180810126582279</v>
      </c>
      <c r="D8" s="34">
        <f>'TOTAL TINGKAT RETURN'!D8</f>
        <v>1.2967098360655743E-2</v>
      </c>
      <c r="E8" s="34">
        <f>'TOTAL TINGKAT RETURN'!D9</f>
        <v>-2.0362030560271645E-2</v>
      </c>
      <c r="F8" s="34">
        <f>'TOTAL TINGKAT RETURN'!D10</f>
        <v>0.86888935746606333</v>
      </c>
      <c r="G8" s="34">
        <f>'TOTAL TINGKAT RETURN'!D11</f>
        <v>-5.9483741414141415E-2</v>
      </c>
      <c r="H8" s="34">
        <f>'TOTAL TINGKAT RETURN'!D12</f>
        <v>-6.2206920454545463E-2</v>
      </c>
      <c r="I8" s="34">
        <f>'TOTAL TINGKAT RETURN'!D13</f>
        <v>-0.16083030063694267</v>
      </c>
      <c r="J8" s="34">
        <f>'TOTAL TINGKAT RETURN'!D14</f>
        <v>0.10737574834008097</v>
      </c>
      <c r="K8" s="34">
        <f>'TOTAL TINGKAT RETURN'!D15</f>
        <v>0.41001389037037034</v>
      </c>
      <c r="L8" s="34">
        <f>'TOTAL TINGKAT RETURN'!D16</f>
        <v>0.25046723252032521</v>
      </c>
      <c r="M8" s="34">
        <f>'EXPECTED RETURN'!D8</f>
        <v>0.20937491844876605</v>
      </c>
      <c r="N8" s="32">
        <f>((B8-M8)^2+(C8-M8)^2+(D8-M8)^2+(E8-M8)^2+(F8-M8)^2+(G8-M8)^2+(H8-M8)^2+(I8-M8)^2+(J8-M8)^2+(K8-M8)^2+(L8-M8)^2)/10</f>
        <v>0.10352832700773847</v>
      </c>
      <c r="O8" s="35">
        <f t="shared" si="0"/>
        <v>0.3217581809492005</v>
      </c>
    </row>
    <row r="9" spans="1:15" x14ac:dyDescent="0.35">
      <c r="A9" s="30" t="s">
        <v>6</v>
      </c>
      <c r="B9" s="34">
        <f>'TOTAL TINGKAT RETURN'!E6</f>
        <v>6.7574316049382716E-2</v>
      </c>
      <c r="C9" s="34">
        <f>'TOTAL TINGKAT RETURN'!E7</f>
        <v>0.49187171974522298</v>
      </c>
      <c r="D9" s="34">
        <f>'TOTAL TINGKAT RETURN'!E8</f>
        <v>-6.2491723433874706E-2</v>
      </c>
      <c r="E9" s="34">
        <f>'TOTAL TINGKAT RETURN'!E9</f>
        <v>0.36441062918918915</v>
      </c>
      <c r="F9" s="34">
        <f>'TOTAL TINGKAT RETURN'!E10</f>
        <v>0.47430478444924407</v>
      </c>
      <c r="G9" s="34">
        <f>'TOTAL TINGKAT RETURN'!E11</f>
        <v>-2.8368622499999999E-2</v>
      </c>
      <c r="H9" s="34">
        <f>'TOTAL TINGKAT RETURN'!E12</f>
        <v>0.10609254779661018</v>
      </c>
      <c r="I9" s="34">
        <f>'TOTAL TINGKAT RETURN'!E13</f>
        <v>-8.3819749837133556E-2</v>
      </c>
      <c r="J9" s="34">
        <f>'TOTAL TINGKAT RETURN'!E14</f>
        <v>0.1803230861660079</v>
      </c>
      <c r="K9" s="34">
        <f>'TOTAL TINGKAT RETURN'!E15</f>
        <v>0.51548343345195724</v>
      </c>
      <c r="L9" s="34">
        <f>'TOTAL TINGKAT RETURN'!E16</f>
        <v>0.3258109340050378</v>
      </c>
      <c r="M9" s="34">
        <f>'EXPECTED RETURN'!D9</f>
        <v>0.23511913550816438</v>
      </c>
      <c r="N9" s="32">
        <f>((B9-M9)^2+(C9-M9)^2+(D9-M9)^2+(E9-M9)^2+(F9-M9)^2+(G9-M9)^2+(H9-M9)^2+(I9-M9)^2+(J9-M9)^2+(K9-M9)^2+(L9-M9)^2)/10</f>
        <v>5.3411886483931657E-2</v>
      </c>
      <c r="O9" s="35">
        <f t="shared" si="0"/>
        <v>0.23111011765808018</v>
      </c>
    </row>
    <row r="17" spans="1:5" x14ac:dyDescent="0.35">
      <c r="A17" s="103"/>
      <c r="B17" s="83"/>
      <c r="C17" s="83"/>
      <c r="D17" s="83"/>
      <c r="E17" s="83"/>
    </row>
    <row r="18" spans="1:5" x14ac:dyDescent="0.35">
      <c r="A18" s="103"/>
      <c r="B18" s="83"/>
      <c r="C18" s="83"/>
      <c r="D18" s="83"/>
      <c r="E18" s="83"/>
    </row>
    <row r="19" spans="1:5" x14ac:dyDescent="0.35">
      <c r="A19" s="39"/>
      <c r="C19" s="58"/>
      <c r="E19" s="58"/>
    </row>
    <row r="20" spans="1:5" x14ac:dyDescent="0.35">
      <c r="A20" s="39"/>
      <c r="C20" s="58"/>
      <c r="E20" s="58"/>
    </row>
    <row r="21" spans="1:5" x14ac:dyDescent="0.35">
      <c r="A21" s="39"/>
      <c r="C21" s="58"/>
      <c r="E21" s="58"/>
    </row>
    <row r="22" spans="1:5" x14ac:dyDescent="0.35">
      <c r="A22" s="39"/>
      <c r="C22" s="58"/>
      <c r="E22" s="58"/>
    </row>
  </sheetData>
  <mergeCells count="11">
    <mergeCell ref="A1:O1"/>
    <mergeCell ref="A4:A5"/>
    <mergeCell ref="B4:L4"/>
    <mergeCell ref="M4:M5"/>
    <mergeCell ref="N4:N5"/>
    <mergeCell ref="O4:O5"/>
    <mergeCell ref="A17:A18"/>
    <mergeCell ref="B17:B18"/>
    <mergeCell ref="C17:C18"/>
    <mergeCell ref="D17:D18"/>
    <mergeCell ref="E17:E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F14D-DEEA-445C-B22A-058DDCBBA9E5}">
  <dimension ref="A1:J9"/>
  <sheetViews>
    <sheetView workbookViewId="0">
      <selection activeCell="B4" sqref="B4:J4"/>
    </sheetView>
  </sheetViews>
  <sheetFormatPr defaultRowHeight="14.5" x14ac:dyDescent="0.35"/>
  <cols>
    <col min="1" max="1" width="12.90625" customWidth="1"/>
    <col min="9" max="9" width="12.7265625" customWidth="1"/>
    <col min="10" max="10" width="19.7265625" customWidth="1"/>
  </cols>
  <sheetData>
    <row r="1" spans="1:10" x14ac:dyDescent="0.35">
      <c r="A1" s="83" t="s">
        <v>30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x14ac:dyDescent="0.35">
      <c r="A2" s="28"/>
      <c r="B2" s="28"/>
    </row>
    <row r="3" spans="1:10" ht="15.5" x14ac:dyDescent="0.35">
      <c r="A3" s="37" t="s">
        <v>31</v>
      </c>
      <c r="B3" s="110" t="s">
        <v>32</v>
      </c>
      <c r="C3" s="110"/>
      <c r="D3" s="110"/>
      <c r="E3" s="110"/>
      <c r="F3" s="110"/>
      <c r="G3" s="110"/>
      <c r="H3" s="110"/>
      <c r="I3" s="110"/>
      <c r="J3" s="110"/>
    </row>
    <row r="4" spans="1:10" ht="15.5" x14ac:dyDescent="0.35">
      <c r="A4" s="38">
        <v>1</v>
      </c>
      <c r="B4" s="109" t="s">
        <v>33</v>
      </c>
      <c r="C4" s="109"/>
      <c r="D4" s="109"/>
      <c r="E4" s="109"/>
      <c r="F4" s="109"/>
      <c r="G4" s="109"/>
      <c r="H4" s="109"/>
      <c r="I4" s="109"/>
      <c r="J4" s="109"/>
    </row>
    <row r="5" spans="1:10" ht="15.5" x14ac:dyDescent="0.35">
      <c r="A5" s="38">
        <v>2</v>
      </c>
      <c r="B5" s="109" t="s">
        <v>34</v>
      </c>
      <c r="C5" s="109"/>
      <c r="D5" s="109"/>
      <c r="E5" s="109"/>
      <c r="F5" s="109"/>
      <c r="G5" s="109"/>
      <c r="H5" s="109"/>
      <c r="I5" s="109"/>
      <c r="J5" s="109"/>
    </row>
    <row r="6" spans="1:10" ht="15.5" x14ac:dyDescent="0.35">
      <c r="A6" s="38">
        <v>3</v>
      </c>
      <c r="B6" s="109" t="s">
        <v>35</v>
      </c>
      <c r="C6" s="109"/>
      <c r="D6" s="109"/>
      <c r="E6" s="109"/>
      <c r="F6" s="109"/>
      <c r="G6" s="109"/>
      <c r="H6" s="109"/>
      <c r="I6" s="109"/>
      <c r="J6" s="109"/>
    </row>
    <row r="7" spans="1:10" ht="15.5" x14ac:dyDescent="0.35">
      <c r="A7" s="38">
        <v>4</v>
      </c>
      <c r="B7" s="109" t="s">
        <v>36</v>
      </c>
      <c r="C7" s="109"/>
      <c r="D7" s="109"/>
      <c r="E7" s="109"/>
      <c r="F7" s="109"/>
      <c r="G7" s="109"/>
      <c r="H7" s="109"/>
      <c r="I7" s="109"/>
      <c r="J7" s="109"/>
    </row>
    <row r="8" spans="1:10" ht="15.5" x14ac:dyDescent="0.35">
      <c r="A8" s="38">
        <v>5</v>
      </c>
      <c r="B8" s="109" t="s">
        <v>37</v>
      </c>
      <c r="C8" s="109"/>
      <c r="D8" s="109"/>
      <c r="E8" s="109"/>
      <c r="F8" s="109"/>
      <c r="G8" s="109"/>
      <c r="H8" s="109"/>
      <c r="I8" s="109"/>
      <c r="J8" s="109"/>
    </row>
    <row r="9" spans="1:10" ht="15.5" x14ac:dyDescent="0.35">
      <c r="A9" s="38">
        <v>6</v>
      </c>
      <c r="B9" s="109" t="s">
        <v>38</v>
      </c>
      <c r="C9" s="109"/>
      <c r="D9" s="109"/>
      <c r="E9" s="109"/>
      <c r="F9" s="109"/>
      <c r="G9" s="109"/>
      <c r="H9" s="109"/>
      <c r="I9" s="109"/>
      <c r="J9" s="109"/>
    </row>
  </sheetData>
  <mergeCells count="8">
    <mergeCell ref="B8:J8"/>
    <mergeCell ref="B9:J9"/>
    <mergeCell ref="A1:J1"/>
    <mergeCell ref="B3:J3"/>
    <mergeCell ref="B4:J4"/>
    <mergeCell ref="B5:J5"/>
    <mergeCell ref="B6:J6"/>
    <mergeCell ref="B7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C0F8-0B16-4F23-A44A-7F77D47AAF31}">
  <dimension ref="A3:M90"/>
  <sheetViews>
    <sheetView topLeftCell="A77" workbookViewId="0">
      <selection activeCell="F39" sqref="F39"/>
    </sheetView>
  </sheetViews>
  <sheetFormatPr defaultRowHeight="14.5" x14ac:dyDescent="0.35"/>
  <cols>
    <col min="1" max="1" width="17.7265625" customWidth="1"/>
    <col min="2" max="2" width="9.08984375" customWidth="1"/>
    <col min="3" max="3" width="8.54296875" customWidth="1"/>
    <col min="4" max="4" width="11.6328125" customWidth="1"/>
    <col min="5" max="5" width="9.81640625" customWidth="1"/>
    <col min="6" max="6" width="8.453125" customWidth="1"/>
    <col min="8" max="8" width="17.08984375" customWidth="1"/>
    <col min="9" max="9" width="8.36328125" customWidth="1"/>
    <col min="10" max="10" width="8.1796875" customWidth="1"/>
    <col min="11" max="11" width="9.6328125" customWidth="1"/>
    <col min="12" max="12" width="10.1796875" customWidth="1"/>
    <col min="13" max="13" width="8.1796875" customWidth="1"/>
  </cols>
  <sheetData>
    <row r="3" spans="1:13" x14ac:dyDescent="0.35">
      <c r="B3" t="s">
        <v>51</v>
      </c>
      <c r="I3" t="s">
        <v>50</v>
      </c>
    </row>
    <row r="5" spans="1:13" ht="15" thickBot="1" x14ac:dyDescent="0.4">
      <c r="A5" s="31" t="s">
        <v>1</v>
      </c>
      <c r="B5" s="49" t="s">
        <v>42</v>
      </c>
      <c r="C5" s="50" t="s">
        <v>43</v>
      </c>
      <c r="D5" s="50" t="s">
        <v>46</v>
      </c>
      <c r="E5" s="50" t="s">
        <v>47</v>
      </c>
      <c r="F5" s="50" t="s">
        <v>40</v>
      </c>
      <c r="H5" s="36" t="s">
        <v>1</v>
      </c>
      <c r="I5" s="47" t="s">
        <v>44</v>
      </c>
      <c r="J5" s="47" t="s">
        <v>45</v>
      </c>
      <c r="K5" s="36" t="s">
        <v>48</v>
      </c>
      <c r="L5" s="36" t="s">
        <v>47</v>
      </c>
      <c r="M5" s="36" t="s">
        <v>49</v>
      </c>
    </row>
    <row r="6" spans="1:13" x14ac:dyDescent="0.35">
      <c r="A6" s="2">
        <v>2013</v>
      </c>
      <c r="B6" s="52">
        <f>'TINGKAT RETURN'!E5</f>
        <v>0.11868131868131868</v>
      </c>
      <c r="C6" s="52">
        <f>'TINGKAT RETURN'!M5</f>
        <v>0.20520287769784171</v>
      </c>
      <c r="D6" s="52">
        <f>B6-B18</f>
        <v>-0.13082304699096578</v>
      </c>
      <c r="E6" s="52">
        <f>C6-C18</f>
        <v>-6.7546728526318683E-2</v>
      </c>
      <c r="F6" s="51">
        <f>D6*E6</f>
        <v>8.836668840084598E-3</v>
      </c>
      <c r="H6" s="55">
        <v>2013</v>
      </c>
      <c r="I6" s="34">
        <f>B6</f>
        <v>0.11868131868131868</v>
      </c>
      <c r="J6" s="34">
        <f>B6</f>
        <v>0.11868131868131868</v>
      </c>
      <c r="K6" s="34">
        <f>D6</f>
        <v>-0.13082304699096578</v>
      </c>
      <c r="L6" s="34">
        <f>D6</f>
        <v>-0.13082304699096578</v>
      </c>
      <c r="M6" s="53">
        <f>K6*L6</f>
        <v>1.7114669624000441E-2</v>
      </c>
    </row>
    <row r="7" spans="1:13" x14ac:dyDescent="0.35">
      <c r="A7" s="55">
        <v>2014</v>
      </c>
      <c r="B7" s="54">
        <f>'TINGKAT RETURN'!E6</f>
        <v>0.43229166666666669</v>
      </c>
      <c r="C7" s="54">
        <f>'TINGKAT RETURN'!M6</f>
        <v>0.78436351724137932</v>
      </c>
      <c r="D7" s="54">
        <f>B7-B18</f>
        <v>0.18278730099438223</v>
      </c>
      <c r="E7" s="54">
        <f>C7-C18</f>
        <v>0.51161391101721887</v>
      </c>
      <c r="F7" s="53">
        <f t="shared" ref="F7:F16" si="0">D7*E7</f>
        <v>9.3516525946017476E-2</v>
      </c>
      <c r="H7" s="55">
        <v>2014</v>
      </c>
      <c r="I7" s="34">
        <f t="shared" ref="I7:I16" si="1">B7</f>
        <v>0.43229166666666669</v>
      </c>
      <c r="J7" s="34">
        <f t="shared" ref="J7:J16" si="2">B7</f>
        <v>0.43229166666666669</v>
      </c>
      <c r="K7" s="34">
        <f t="shared" ref="K7:K16" si="3">D7</f>
        <v>0.18278730099438223</v>
      </c>
      <c r="L7" s="34">
        <f t="shared" ref="L7:L16" si="4">D7</f>
        <v>0.18278730099438223</v>
      </c>
      <c r="M7" s="53">
        <f t="shared" ref="M7:M16" si="5">K7*L7</f>
        <v>3.341119740481089E-2</v>
      </c>
    </row>
    <row r="8" spans="1:13" x14ac:dyDescent="0.35">
      <c r="A8" s="55">
        <v>2015</v>
      </c>
      <c r="B8" s="54">
        <f>'TINGKAT RETURN'!E7</f>
        <v>7.1619047619047624E-2</v>
      </c>
      <c r="C8" s="54">
        <f>'TINGKAT RETURN'!M7</f>
        <v>0.1072107296137339</v>
      </c>
      <c r="D8" s="54">
        <f>B8-B18</f>
        <v>-0.17788531805323682</v>
      </c>
      <c r="E8" s="54">
        <f>C8-C18</f>
        <v>-0.16553887661042649</v>
      </c>
      <c r="F8" s="53">
        <f t="shared" si="0"/>
        <v>2.9446935716021243E-2</v>
      </c>
      <c r="H8" s="55">
        <v>2015</v>
      </c>
      <c r="I8" s="34">
        <f t="shared" si="1"/>
        <v>7.1619047619047624E-2</v>
      </c>
      <c r="J8" s="34">
        <f t="shared" si="2"/>
        <v>7.1619047619047624E-2</v>
      </c>
      <c r="K8" s="34">
        <f t="shared" si="3"/>
        <v>-0.17788531805323682</v>
      </c>
      <c r="L8" s="34">
        <f t="shared" si="4"/>
        <v>-0.17788531805323682</v>
      </c>
      <c r="M8" s="53">
        <f t="shared" si="5"/>
        <v>3.164318637890122E-2</v>
      </c>
    </row>
    <row r="9" spans="1:13" x14ac:dyDescent="0.35">
      <c r="A9" s="55">
        <v>2016</v>
      </c>
      <c r="B9" s="54">
        <f>'TINGKAT RETURN'!E8</f>
        <v>0.23120300751879699</v>
      </c>
      <c r="C9" s="54">
        <f>'TINGKAT RETURN'!M8</f>
        <v>0.15827628008752734</v>
      </c>
      <c r="D9" s="54">
        <f>B9-B18</f>
        <v>-1.8301358153487463E-2</v>
      </c>
      <c r="E9" s="54">
        <f>C9-C18</f>
        <v>-0.11447332613663305</v>
      </c>
      <c r="F9" s="53">
        <f t="shared" si="0"/>
        <v>2.0950173406474987E-3</v>
      </c>
      <c r="H9" s="55">
        <v>2016</v>
      </c>
      <c r="I9" s="34">
        <f t="shared" si="1"/>
        <v>0.23120300751879699</v>
      </c>
      <c r="J9" s="34">
        <f t="shared" si="2"/>
        <v>0.23120300751879699</v>
      </c>
      <c r="K9" s="34">
        <f t="shared" si="3"/>
        <v>-1.8301358153487463E-2</v>
      </c>
      <c r="L9" s="34">
        <f t="shared" si="4"/>
        <v>-1.8301358153487463E-2</v>
      </c>
      <c r="M9" s="53">
        <f t="shared" si="5"/>
        <v>3.34939710262222E-4</v>
      </c>
    </row>
    <row r="10" spans="1:13" x14ac:dyDescent="0.35">
      <c r="A10" s="55">
        <v>2017</v>
      </c>
      <c r="B10" s="54">
        <f>'TINGKAT RETURN'!E9</f>
        <v>0.48064516129032259</v>
      </c>
      <c r="C10" s="54">
        <f>'TINGKAT RETURN'!M9</f>
        <v>0.74244346466809419</v>
      </c>
      <c r="D10" s="54">
        <f>B10-B18</f>
        <v>0.23114079561803813</v>
      </c>
      <c r="E10" s="54">
        <f>C10-C18</f>
        <v>0.4696938584439338</v>
      </c>
      <c r="F10" s="53">
        <f t="shared" si="0"/>
        <v>0.10856541213763704</v>
      </c>
      <c r="H10" s="55">
        <v>2017</v>
      </c>
      <c r="I10" s="34">
        <f t="shared" si="1"/>
        <v>0.48064516129032259</v>
      </c>
      <c r="J10" s="34">
        <f t="shared" si="2"/>
        <v>0.48064516129032259</v>
      </c>
      <c r="K10" s="34">
        <f t="shared" si="3"/>
        <v>0.23114079561803813</v>
      </c>
      <c r="L10" s="34">
        <f t="shared" si="4"/>
        <v>0.23114079561803813</v>
      </c>
      <c r="M10" s="53">
        <f t="shared" si="5"/>
        <v>5.3426067398939674E-2</v>
      </c>
    </row>
    <row r="11" spans="1:13" x14ac:dyDescent="0.35">
      <c r="A11" s="55">
        <v>2018</v>
      </c>
      <c r="B11" s="54">
        <f>'TINGKAT RETURN'!E10</f>
        <v>0.24657534246575341</v>
      </c>
      <c r="C11" s="54">
        <f>'TINGKAT RETURN'!M10</f>
        <v>3.4820568681318678E-2</v>
      </c>
      <c r="D11" s="54">
        <f>B11-B18</f>
        <v>-2.9290232065310451E-3</v>
      </c>
      <c r="E11" s="54">
        <f>C11-C18</f>
        <v>-0.23792903754284173</v>
      </c>
      <c r="F11" s="53">
        <f t="shared" si="0"/>
        <v>6.9689967247057972E-4</v>
      </c>
      <c r="H11" s="55">
        <v>2018</v>
      </c>
      <c r="I11" s="34">
        <f t="shared" si="1"/>
        <v>0.24657534246575341</v>
      </c>
      <c r="J11" s="34">
        <f t="shared" si="2"/>
        <v>0.24657534246575341</v>
      </c>
      <c r="K11" s="34">
        <f t="shared" si="3"/>
        <v>-2.9290232065310451E-3</v>
      </c>
      <c r="L11" s="34">
        <f t="shared" si="4"/>
        <v>-2.9290232065310451E-3</v>
      </c>
      <c r="M11" s="53">
        <f>K11*L11</f>
        <v>8.579176944397406E-6</v>
      </c>
    </row>
    <row r="12" spans="1:13" x14ac:dyDescent="0.35">
      <c r="A12" s="55">
        <v>2019</v>
      </c>
      <c r="B12" s="54">
        <f>'TINGKAT RETURN'!E11</f>
        <v>0.35384615384615387</v>
      </c>
      <c r="C12" s="54">
        <f>'TINGKAT RETURN'!M11</f>
        <v>0.23829896994535518</v>
      </c>
      <c r="D12" s="54">
        <f>B12-B18</f>
        <v>0.10434178817386941</v>
      </c>
      <c r="E12" s="54">
        <f>C12-C18</f>
        <v>-3.4450636278805208E-2</v>
      </c>
      <c r="F12" s="53">
        <f t="shared" si="0"/>
        <v>-3.5946409930581137E-3</v>
      </c>
      <c r="H12" s="55">
        <v>2019</v>
      </c>
      <c r="I12" s="34">
        <f t="shared" si="1"/>
        <v>0.35384615384615387</v>
      </c>
      <c r="J12" s="34">
        <f t="shared" si="2"/>
        <v>0.35384615384615387</v>
      </c>
      <c r="K12" s="34">
        <f t="shared" si="3"/>
        <v>0.10434178817386941</v>
      </c>
      <c r="L12" s="34">
        <f t="shared" si="4"/>
        <v>0.10434178817386941</v>
      </c>
      <c r="M12" s="53">
        <f t="shared" si="5"/>
        <v>1.0887208759320635E-2</v>
      </c>
    </row>
    <row r="13" spans="1:13" x14ac:dyDescent="0.35">
      <c r="A13" s="55">
        <v>2020</v>
      </c>
      <c r="B13" s="54">
        <f>'TINGKAT RETURN'!E12</f>
        <v>8.0478683620044872E-2</v>
      </c>
      <c r="C13" s="54">
        <f>'TINGKAT RETURN'!M12</f>
        <v>-1.4044956818181818E-2</v>
      </c>
      <c r="D13" s="54">
        <f>B13-B18</f>
        <v>-0.16902568205223958</v>
      </c>
      <c r="E13" s="54">
        <f>C13-C18</f>
        <v>-0.28679456304234219</v>
      </c>
      <c r="F13" s="53">
        <f t="shared" si="0"/>
        <v>4.8475646627105913E-2</v>
      </c>
      <c r="H13" s="55">
        <v>2020</v>
      </c>
      <c r="I13" s="34">
        <f t="shared" si="1"/>
        <v>8.0478683620044872E-2</v>
      </c>
      <c r="J13" s="34">
        <f t="shared" si="2"/>
        <v>8.0478683620044872E-2</v>
      </c>
      <c r="K13" s="34">
        <f t="shared" si="3"/>
        <v>-0.16902568205223958</v>
      </c>
      <c r="L13" s="34">
        <f t="shared" si="4"/>
        <v>-0.16902568205223958</v>
      </c>
      <c r="M13" s="53">
        <f t="shared" si="5"/>
        <v>2.8569681193224786E-2</v>
      </c>
    </row>
    <row r="14" spans="1:13" x14ac:dyDescent="0.35">
      <c r="A14" s="55">
        <v>2021</v>
      </c>
      <c r="B14" s="54">
        <f>'TINGKAT RETURN'!E13</f>
        <v>0.16296851574212892</v>
      </c>
      <c r="C14" s="54">
        <f>'TINGKAT RETURN'!M13</f>
        <v>9.329894244604316E-3</v>
      </c>
      <c r="D14" s="54">
        <f>B14-B18</f>
        <v>-8.6535849930155534E-2</v>
      </c>
      <c r="E14" s="54">
        <f>C14-C18</f>
        <v>-0.26341971197955605</v>
      </c>
      <c r="F14" s="53">
        <f t="shared" si="0"/>
        <v>2.2795248664507658E-2</v>
      </c>
      <c r="H14" s="55">
        <v>2021</v>
      </c>
      <c r="I14" s="34">
        <f t="shared" si="1"/>
        <v>0.16296851574212892</v>
      </c>
      <c r="J14" s="34">
        <f t="shared" si="2"/>
        <v>0.16296851574212892</v>
      </c>
      <c r="K14" s="34">
        <f t="shared" si="3"/>
        <v>-8.6535849930155534E-2</v>
      </c>
      <c r="L14" s="34">
        <f t="shared" si="4"/>
        <v>-8.6535849930155534E-2</v>
      </c>
      <c r="M14" s="53">
        <f t="shared" si="5"/>
        <v>7.4884533231343994E-3</v>
      </c>
    </row>
    <row r="15" spans="1:13" x14ac:dyDescent="0.35">
      <c r="A15" s="55">
        <v>2022</v>
      </c>
      <c r="B15" s="54">
        <f>'TINGKAT RETURN'!E14</f>
        <v>0.19246575342465752</v>
      </c>
      <c r="C15" s="54">
        <f>'TINGKAT RETURN'!M14</f>
        <v>0.24434342335766424</v>
      </c>
      <c r="D15" s="54">
        <f>B15-B18</f>
        <v>-5.7038612247626935E-2</v>
      </c>
      <c r="E15" s="54">
        <f>C15-C18</f>
        <v>-2.8406182866496155E-2</v>
      </c>
      <c r="F15" s="53">
        <f t="shared" si="0"/>
        <v>1.6202492499572581E-3</v>
      </c>
      <c r="H15" s="55">
        <v>2022</v>
      </c>
      <c r="I15" s="34">
        <f t="shared" si="1"/>
        <v>0.19246575342465752</v>
      </c>
      <c r="J15" s="34">
        <f t="shared" si="2"/>
        <v>0.19246575342465752</v>
      </c>
      <c r="K15" s="34">
        <f t="shared" si="3"/>
        <v>-5.7038612247626935E-2</v>
      </c>
      <c r="L15" s="34">
        <f t="shared" si="4"/>
        <v>-5.7038612247626935E-2</v>
      </c>
      <c r="M15" s="53">
        <f t="shared" si="5"/>
        <v>3.2534032871351375E-3</v>
      </c>
    </row>
    <row r="16" spans="1:13" x14ac:dyDescent="0.35">
      <c r="A16" s="55">
        <v>2023</v>
      </c>
      <c r="B16" s="54">
        <f>'TINGKAT RETURN'!E15</f>
        <v>0.12426900584795321</v>
      </c>
      <c r="C16" s="54">
        <f>'TINGKAT RETURN'!M15</f>
        <v>0.21725129352226719</v>
      </c>
      <c r="D16" s="54">
        <f>B16-B18</f>
        <v>-0.12523535982433126</v>
      </c>
      <c r="E16" s="54">
        <f>C16-C18</f>
        <v>-5.5498312701893204E-2</v>
      </c>
      <c r="F16" s="53">
        <f t="shared" si="0"/>
        <v>6.9503511608648497E-3</v>
      </c>
      <c r="H16" s="55">
        <v>2023</v>
      </c>
      <c r="I16" s="34">
        <f t="shared" si="1"/>
        <v>0.12426900584795321</v>
      </c>
      <c r="J16" s="34">
        <f t="shared" si="2"/>
        <v>0.12426900584795321</v>
      </c>
      <c r="K16" s="34">
        <f t="shared" si="3"/>
        <v>-0.12523535982433126</v>
      </c>
      <c r="L16" s="34">
        <f t="shared" si="4"/>
        <v>-0.12523535982433126</v>
      </c>
      <c r="M16" s="53">
        <f t="shared" si="5"/>
        <v>1.5683895350329723E-2</v>
      </c>
    </row>
    <row r="17" spans="1:13" x14ac:dyDescent="0.35">
      <c r="A17" s="56" t="s">
        <v>20</v>
      </c>
      <c r="B17" s="54">
        <f>SUM(B6:B16)</f>
        <v>2.4950436567228444</v>
      </c>
      <c r="C17" s="54">
        <f>SUM(C6:C16)</f>
        <v>2.7274960622416038</v>
      </c>
      <c r="D17" s="34"/>
      <c r="E17" s="1"/>
      <c r="F17" s="56">
        <f>SUM(F6:F16)</f>
        <v>0.31940431436225597</v>
      </c>
      <c r="H17" s="56" t="s">
        <v>20</v>
      </c>
      <c r="I17" s="34">
        <f>SUM(I6:I16)</f>
        <v>2.4950436567228444</v>
      </c>
      <c r="J17" s="34">
        <f>SUM(J6:J16)</f>
        <v>2.4950436567228444</v>
      </c>
      <c r="K17" s="1"/>
      <c r="L17" s="1"/>
      <c r="M17" s="56">
        <f>SUM(M6:M16)</f>
        <v>0.20182128160700349</v>
      </c>
    </row>
    <row r="18" spans="1:13" x14ac:dyDescent="0.35">
      <c r="A18" s="47" t="s">
        <v>25</v>
      </c>
      <c r="B18" s="56">
        <f>B17/10</f>
        <v>0.24950436567228446</v>
      </c>
      <c r="C18" s="56">
        <f>C17/10</f>
        <v>0.27274960622416039</v>
      </c>
      <c r="D18" s="1"/>
      <c r="E18" s="1"/>
      <c r="F18" s="1"/>
      <c r="H18" s="47" t="s">
        <v>25</v>
      </c>
      <c r="I18" s="57">
        <f>I17/10</f>
        <v>0.24950436567228446</v>
      </c>
      <c r="J18" s="57">
        <f>J17/10</f>
        <v>0.24950436567228446</v>
      </c>
      <c r="K18" s="1"/>
      <c r="L18" s="1"/>
      <c r="M18" s="1"/>
    </row>
    <row r="19" spans="1:13" x14ac:dyDescent="0.35">
      <c r="A19" s="47" t="s">
        <v>41</v>
      </c>
      <c r="B19" s="1"/>
      <c r="C19" s="1"/>
      <c r="D19" s="1"/>
      <c r="E19" s="1"/>
      <c r="F19" s="56">
        <f>F17/10</f>
        <v>3.1940431436225596E-2</v>
      </c>
      <c r="H19" s="47" t="s">
        <v>41</v>
      </c>
      <c r="I19" s="1"/>
      <c r="J19" s="1"/>
      <c r="K19" s="1"/>
      <c r="L19" s="1"/>
      <c r="M19" s="56">
        <f>M17/10</f>
        <v>2.0182128160700349E-2</v>
      </c>
    </row>
    <row r="21" spans="1:13" x14ac:dyDescent="0.35">
      <c r="B21" t="s">
        <v>52</v>
      </c>
      <c r="I21" t="s">
        <v>53</v>
      </c>
    </row>
    <row r="23" spans="1:13" x14ac:dyDescent="0.35">
      <c r="A23" s="47" t="s">
        <v>1</v>
      </c>
      <c r="B23" s="47" t="s">
        <v>44</v>
      </c>
      <c r="C23" s="47" t="s">
        <v>58</v>
      </c>
      <c r="D23" s="36" t="s">
        <v>46</v>
      </c>
      <c r="E23" s="36" t="s">
        <v>47</v>
      </c>
      <c r="F23" s="47" t="s">
        <v>55</v>
      </c>
      <c r="H23" s="36" t="s">
        <v>1</v>
      </c>
      <c r="I23" s="47" t="s">
        <v>44</v>
      </c>
      <c r="J23" s="47" t="s">
        <v>57</v>
      </c>
      <c r="K23" s="47" t="s">
        <v>46</v>
      </c>
      <c r="L23" s="47" t="s">
        <v>47</v>
      </c>
      <c r="M23" s="47" t="s">
        <v>56</v>
      </c>
    </row>
    <row r="24" spans="1:13" x14ac:dyDescent="0.35">
      <c r="A24" s="47">
        <v>2013</v>
      </c>
      <c r="B24" s="25">
        <f>B6</f>
        <v>0.11868131868131868</v>
      </c>
      <c r="C24" s="1">
        <f>'TOTAL TINGKAT RETURN'!D6</f>
        <v>0.12883783783783784</v>
      </c>
      <c r="D24" s="25">
        <f>D6</f>
        <v>-0.13082304699096578</v>
      </c>
      <c r="E24" s="55">
        <f>C24-C36</f>
        <v>-8.0537080610928208E-2</v>
      </c>
      <c r="F24" s="55">
        <f>D24*E24</f>
        <v>1.053610628127866E-2</v>
      </c>
      <c r="H24" s="36">
        <v>2013</v>
      </c>
      <c r="I24" s="34">
        <f>B24</f>
        <v>0.11868131868131868</v>
      </c>
      <c r="J24" s="1">
        <f>'TOTAL TINGKAT RETURN'!E6</f>
        <v>6.7574316049382716E-2</v>
      </c>
      <c r="K24" s="34">
        <f>I24-I36</f>
        <v>-0.13082304699096578</v>
      </c>
      <c r="L24" s="1">
        <f>J24-J36</f>
        <v>-0.16754481945878166</v>
      </c>
      <c r="M24" s="1">
        <f>K24*L24</f>
        <v>2.191872378914907E-2</v>
      </c>
    </row>
    <row r="25" spans="1:13" x14ac:dyDescent="0.35">
      <c r="A25" s="47">
        <v>2014</v>
      </c>
      <c r="B25" s="25">
        <f t="shared" ref="B25:B34" si="6">B7</f>
        <v>0.43229166666666669</v>
      </c>
      <c r="C25" s="1">
        <f>'TOTAL TINGKAT RETURN'!D7</f>
        <v>0.6180810126582279</v>
      </c>
      <c r="D25" s="25">
        <f t="shared" ref="D25:D34" si="7">D7</f>
        <v>0.18278730099438223</v>
      </c>
      <c r="E25" s="55">
        <f>C25-C36</f>
        <v>0.40870609420946186</v>
      </c>
      <c r="F25" s="55">
        <f t="shared" ref="F25:F34" si="8">D25*E25</f>
        <v>7.470628386050325E-2</v>
      </c>
      <c r="H25" s="36">
        <v>2014</v>
      </c>
      <c r="I25" s="34">
        <f t="shared" ref="I25:I34" si="9">B25</f>
        <v>0.43229166666666669</v>
      </c>
      <c r="J25" s="1">
        <f>'TOTAL TINGKAT RETURN'!E7</f>
        <v>0.49187171974522298</v>
      </c>
      <c r="K25" s="34">
        <f>I25-I36</f>
        <v>0.18278730099438223</v>
      </c>
      <c r="L25" s="1">
        <f>J25-J36</f>
        <v>0.2567525842370586</v>
      </c>
      <c r="M25" s="1">
        <f t="shared" ref="M25:M34" si="10">K25*L25</f>
        <v>4.693111189602471E-2</v>
      </c>
    </row>
    <row r="26" spans="1:13" x14ac:dyDescent="0.35">
      <c r="A26" s="47">
        <v>2015</v>
      </c>
      <c r="B26" s="25">
        <f t="shared" si="6"/>
        <v>7.1619047619047624E-2</v>
      </c>
      <c r="C26" s="1">
        <f>'TOTAL TINGKAT RETURN'!D8</f>
        <v>1.2967098360655743E-2</v>
      </c>
      <c r="D26" s="25">
        <f t="shared" si="7"/>
        <v>-0.17788531805323682</v>
      </c>
      <c r="E26" s="55">
        <f>C26-C36</f>
        <v>-0.19640782008811031</v>
      </c>
      <c r="F26" s="55">
        <f t="shared" si="8"/>
        <v>3.4938067544516414E-2</v>
      </c>
      <c r="H26" s="36">
        <v>2015</v>
      </c>
      <c r="I26" s="34">
        <f t="shared" si="9"/>
        <v>7.1619047619047624E-2</v>
      </c>
      <c r="J26" s="1">
        <f>'TOTAL TINGKAT RETURN'!E8</f>
        <v>-6.2491723433874706E-2</v>
      </c>
      <c r="K26" s="34">
        <f>I26-I36</f>
        <v>-0.17788531805323682</v>
      </c>
      <c r="L26" s="1">
        <f>J26-J36</f>
        <v>-0.29761085894203909</v>
      </c>
      <c r="M26" s="1">
        <f t="shared" si="10"/>
        <v>5.2940602299001625E-2</v>
      </c>
    </row>
    <row r="27" spans="1:13" x14ac:dyDescent="0.35">
      <c r="A27" s="47">
        <v>2016</v>
      </c>
      <c r="B27" s="25">
        <f t="shared" si="6"/>
        <v>0.23120300751879699</v>
      </c>
      <c r="C27" s="1">
        <f>'TOTAL TINGKAT RETURN'!D9</f>
        <v>-2.0362030560271645E-2</v>
      </c>
      <c r="D27" s="25">
        <f t="shared" si="7"/>
        <v>-1.8301358153487463E-2</v>
      </c>
      <c r="E27" s="55">
        <f>C27-C36</f>
        <v>-0.22973694900903768</v>
      </c>
      <c r="F27" s="55">
        <f t="shared" si="8"/>
        <v>4.2044981849038848E-3</v>
      </c>
      <c r="H27" s="36">
        <v>2016</v>
      </c>
      <c r="I27" s="34">
        <f t="shared" si="9"/>
        <v>0.23120300751879699</v>
      </c>
      <c r="J27" s="1">
        <f>'TOTAL TINGKAT RETURN'!E9</f>
        <v>0.36441062918918915</v>
      </c>
      <c r="K27" s="34">
        <f>I27-I36</f>
        <v>-1.8301358153487463E-2</v>
      </c>
      <c r="L27" s="1">
        <f>J27-J36</f>
        <v>0.12929149368102477</v>
      </c>
      <c r="M27" s="1">
        <f t="shared" si="10"/>
        <v>-2.3662099320557956E-3</v>
      </c>
    </row>
    <row r="28" spans="1:13" x14ac:dyDescent="0.35">
      <c r="A28" s="47">
        <v>2017</v>
      </c>
      <c r="B28" s="25">
        <f t="shared" si="6"/>
        <v>0.48064516129032259</v>
      </c>
      <c r="C28" s="1">
        <f>'TOTAL TINGKAT RETURN'!D10</f>
        <v>0.86888935746606333</v>
      </c>
      <c r="D28" s="25">
        <f t="shared" si="7"/>
        <v>0.23114079561803813</v>
      </c>
      <c r="E28" s="55">
        <f>C28-C36</f>
        <v>0.65951443901729734</v>
      </c>
      <c r="F28" s="55">
        <f t="shared" si="8"/>
        <v>0.1524406921560422</v>
      </c>
      <c r="H28" s="36">
        <v>2017</v>
      </c>
      <c r="I28" s="34">
        <f t="shared" si="9"/>
        <v>0.48064516129032259</v>
      </c>
      <c r="J28" s="1">
        <f>'TOTAL TINGKAT RETURN'!E10</f>
        <v>0.47430478444924407</v>
      </c>
      <c r="K28" s="34">
        <f>I28-I36</f>
        <v>0.23114079561803813</v>
      </c>
      <c r="L28" s="1">
        <f>J28-J36</f>
        <v>0.23918564894107969</v>
      </c>
      <c r="M28" s="1">
        <f t="shared" si="10"/>
        <v>5.5285561196657916E-2</v>
      </c>
    </row>
    <row r="29" spans="1:13" x14ac:dyDescent="0.35">
      <c r="A29" s="47">
        <v>2018</v>
      </c>
      <c r="B29" s="25">
        <f t="shared" si="6"/>
        <v>0.24657534246575341</v>
      </c>
      <c r="C29" s="1">
        <f>'TOTAL TINGKAT RETURN'!D11</f>
        <v>-5.9483741414141415E-2</v>
      </c>
      <c r="D29" s="25">
        <f t="shared" si="7"/>
        <v>-2.9290232065310451E-3</v>
      </c>
      <c r="E29" s="55">
        <f>C29-C36</f>
        <v>-0.26885865986290747</v>
      </c>
      <c r="F29" s="55">
        <f t="shared" si="8"/>
        <v>7.8749325401529285E-4</v>
      </c>
      <c r="H29" s="36">
        <v>2018</v>
      </c>
      <c r="I29" s="34">
        <f t="shared" si="9"/>
        <v>0.24657534246575341</v>
      </c>
      <c r="J29" s="1">
        <f>'TOTAL TINGKAT RETURN'!E11</f>
        <v>-2.8368622499999999E-2</v>
      </c>
      <c r="K29" s="34">
        <f>I29-I36</f>
        <v>-2.9290232065310451E-3</v>
      </c>
      <c r="L29" s="1">
        <f>J29-J36</f>
        <v>-0.26348775800816437</v>
      </c>
      <c r="M29" s="1">
        <f t="shared" si="10"/>
        <v>7.7176175784274964E-4</v>
      </c>
    </row>
    <row r="30" spans="1:13" x14ac:dyDescent="0.35">
      <c r="A30" s="47">
        <v>2019</v>
      </c>
      <c r="B30" s="25">
        <f t="shared" si="6"/>
        <v>0.35384615384615387</v>
      </c>
      <c r="C30" s="1">
        <f>'TOTAL TINGKAT RETURN'!D12</f>
        <v>-6.2206920454545463E-2</v>
      </c>
      <c r="D30" s="25">
        <f t="shared" si="7"/>
        <v>0.10434178817386941</v>
      </c>
      <c r="E30" s="55">
        <f>C30-C36</f>
        <v>-0.2715818389033115</v>
      </c>
      <c r="F30" s="55">
        <f t="shared" si="8"/>
        <v>-2.8337334706719255E-2</v>
      </c>
      <c r="H30" s="36">
        <v>2019</v>
      </c>
      <c r="I30" s="34">
        <f t="shared" si="9"/>
        <v>0.35384615384615387</v>
      </c>
      <c r="J30" s="1">
        <f>'TOTAL TINGKAT RETURN'!E12</f>
        <v>0.10609254779661018</v>
      </c>
      <c r="K30" s="34">
        <f>I30-I36</f>
        <v>0.10434178817386941</v>
      </c>
      <c r="L30" s="1">
        <f>J30-J36</f>
        <v>-0.1290265877115542</v>
      </c>
      <c r="M30" s="1">
        <f t="shared" si="10"/>
        <v>-1.346286488379617E-2</v>
      </c>
    </row>
    <row r="31" spans="1:13" x14ac:dyDescent="0.35">
      <c r="A31" s="47">
        <v>2020</v>
      </c>
      <c r="B31" s="25">
        <f t="shared" si="6"/>
        <v>8.0478683620044872E-2</v>
      </c>
      <c r="C31" s="1">
        <f>'TOTAL TINGKAT RETURN'!D13</f>
        <v>-0.16083030063694267</v>
      </c>
      <c r="D31" s="25">
        <f t="shared" si="7"/>
        <v>-0.16902568205223958</v>
      </c>
      <c r="E31" s="55">
        <f>C31-C36</f>
        <v>-0.37020521908570869</v>
      </c>
      <c r="F31" s="55">
        <f t="shared" si="8"/>
        <v>6.2574189655260695E-2</v>
      </c>
      <c r="H31" s="36">
        <v>2020</v>
      </c>
      <c r="I31" s="34">
        <f t="shared" si="9"/>
        <v>8.0478683620044872E-2</v>
      </c>
      <c r="J31" s="1">
        <f>'TOTAL TINGKAT RETURN'!E13</f>
        <v>-8.3819749837133556E-2</v>
      </c>
      <c r="K31" s="34">
        <f>I31-I36</f>
        <v>-0.16902568205223958</v>
      </c>
      <c r="L31" s="1">
        <f>J31-J36</f>
        <v>-0.31893888534529791</v>
      </c>
      <c r="M31" s="1">
        <f t="shared" si="10"/>
        <v>5.3908862628470021E-2</v>
      </c>
    </row>
    <row r="32" spans="1:13" x14ac:dyDescent="0.35">
      <c r="A32" s="47">
        <v>2021</v>
      </c>
      <c r="B32" s="25">
        <f t="shared" si="6"/>
        <v>0.16296851574212892</v>
      </c>
      <c r="C32" s="1">
        <f>'TOTAL TINGKAT RETURN'!D14</f>
        <v>0.10737574834008097</v>
      </c>
      <c r="D32" s="25">
        <f t="shared" si="7"/>
        <v>-8.6535849930155534E-2</v>
      </c>
      <c r="E32" s="55">
        <f>C32-C36</f>
        <v>-0.10199917010868507</v>
      </c>
      <c r="F32" s="55">
        <f t="shared" si="8"/>
        <v>8.8265848775255784E-3</v>
      </c>
      <c r="H32" s="36">
        <v>2021</v>
      </c>
      <c r="I32" s="34">
        <f t="shared" si="9"/>
        <v>0.16296851574212892</v>
      </c>
      <c r="J32" s="1">
        <f>'TOTAL TINGKAT RETURN'!E14</f>
        <v>0.1803230861660079</v>
      </c>
      <c r="K32" s="34">
        <f>I32-I36</f>
        <v>-8.6535849930155534E-2</v>
      </c>
      <c r="L32" s="1">
        <f>J32-J36</f>
        <v>-5.4796049342156483E-2</v>
      </c>
      <c r="M32" s="1">
        <f t="shared" si="10"/>
        <v>4.7418227026382511E-3</v>
      </c>
    </row>
    <row r="33" spans="1:13" x14ac:dyDescent="0.35">
      <c r="A33" s="47">
        <v>2022</v>
      </c>
      <c r="B33" s="25">
        <f t="shared" si="6"/>
        <v>0.19246575342465752</v>
      </c>
      <c r="C33" s="1">
        <f>'TOTAL TINGKAT RETURN'!D15</f>
        <v>0.41001389037037034</v>
      </c>
      <c r="D33" s="25">
        <f t="shared" si="7"/>
        <v>-5.7038612247626935E-2</v>
      </c>
      <c r="E33" s="55">
        <f>C33-C36</f>
        <v>0.20063897192160429</v>
      </c>
      <c r="F33" s="55">
        <f t="shared" si="8"/>
        <v>-1.1444168521198896E-2</v>
      </c>
      <c r="H33" s="36">
        <v>2022</v>
      </c>
      <c r="I33" s="34">
        <f t="shared" si="9"/>
        <v>0.19246575342465752</v>
      </c>
      <c r="J33" s="1">
        <f>'TOTAL TINGKAT RETURN'!E15</f>
        <v>0.51548343345195724</v>
      </c>
      <c r="K33" s="34">
        <f>I33-I36</f>
        <v>-5.7038612247626935E-2</v>
      </c>
      <c r="L33" s="1">
        <f>J33-J36</f>
        <v>0.28036429794379286</v>
      </c>
      <c r="M33" s="1">
        <f t="shared" si="10"/>
        <v>-1.5991590478494151E-2</v>
      </c>
    </row>
    <row r="34" spans="1:13" x14ac:dyDescent="0.35">
      <c r="A34" s="47">
        <v>2023</v>
      </c>
      <c r="B34" s="25">
        <f t="shared" si="6"/>
        <v>0.12426900584795321</v>
      </c>
      <c r="C34" s="1">
        <f>'TOTAL TINGKAT RETURN'!D16</f>
        <v>0.25046723252032521</v>
      </c>
      <c r="D34" s="25">
        <f t="shared" si="7"/>
        <v>-0.12523535982433126</v>
      </c>
      <c r="E34" s="55">
        <f>C34-C36</f>
        <v>4.1092314071559166E-2</v>
      </c>
      <c r="F34" s="55">
        <f t="shared" si="8"/>
        <v>-5.1462107387661429E-3</v>
      </c>
      <c r="H34" s="36">
        <v>2023</v>
      </c>
      <c r="I34" s="34">
        <f t="shared" si="9"/>
        <v>0.12426900584795321</v>
      </c>
      <c r="J34" s="1">
        <f>'TOTAL TINGKAT RETURN'!E16</f>
        <v>0.3258109340050378</v>
      </c>
      <c r="K34" s="34">
        <f>I34-I36</f>
        <v>-0.12523535982433126</v>
      </c>
      <c r="L34" s="1">
        <f>J34-J36</f>
        <v>9.0691798496873421E-2</v>
      </c>
      <c r="M34" s="1">
        <f t="shared" si="10"/>
        <v>-1.1357820017871688E-2</v>
      </c>
    </row>
    <row r="35" spans="1:13" x14ac:dyDescent="0.35">
      <c r="A35" s="47" t="s">
        <v>20</v>
      </c>
      <c r="B35" s="59">
        <f>SUM(B24:B34)</f>
        <v>2.4950436567228444</v>
      </c>
      <c r="C35" s="1">
        <f>SUM(C24:C34)</f>
        <v>2.0937491844876606</v>
      </c>
      <c r="D35" s="34"/>
      <c r="E35" s="1"/>
      <c r="F35" s="60">
        <f>SUM(F24:F34)</f>
        <v>0.30408620184736168</v>
      </c>
      <c r="H35" s="47" t="s">
        <v>20</v>
      </c>
      <c r="I35" s="34">
        <f>SUM(I24:I34)</f>
        <v>2.4950436567228444</v>
      </c>
      <c r="J35" s="1">
        <f>SUM(J24:J34)</f>
        <v>2.3511913550816437</v>
      </c>
      <c r="K35" s="1"/>
      <c r="L35" s="1"/>
      <c r="M35" s="47">
        <f>SUM(M24:M34)</f>
        <v>0.19331996095756654</v>
      </c>
    </row>
    <row r="36" spans="1:13" x14ac:dyDescent="0.35">
      <c r="A36" s="47" t="s">
        <v>25</v>
      </c>
      <c r="B36" s="48">
        <f>B35/10</f>
        <v>0.24950436567228446</v>
      </c>
      <c r="C36" s="47">
        <f>C35/10</f>
        <v>0.20937491844876605</v>
      </c>
      <c r="D36" s="34"/>
      <c r="E36" s="1"/>
      <c r="F36" s="1"/>
      <c r="H36" s="47" t="s">
        <v>54</v>
      </c>
      <c r="I36" s="57">
        <f>I35/10</f>
        <v>0.24950436567228446</v>
      </c>
      <c r="J36" s="47">
        <f>J35/10</f>
        <v>0.23511913550816438</v>
      </c>
      <c r="K36" s="1"/>
      <c r="L36" s="1"/>
      <c r="M36" s="1"/>
    </row>
    <row r="37" spans="1:13" x14ac:dyDescent="0.35">
      <c r="A37" s="47" t="s">
        <v>41</v>
      </c>
      <c r="B37" s="1"/>
      <c r="C37" s="1"/>
      <c r="D37" s="1"/>
      <c r="E37" s="1"/>
      <c r="F37" s="47">
        <f>F35/10</f>
        <v>3.0408620184736168E-2</v>
      </c>
      <c r="H37" s="47" t="s">
        <v>41</v>
      </c>
      <c r="I37" s="1"/>
      <c r="J37" s="1"/>
      <c r="K37" s="1"/>
      <c r="L37" s="1"/>
      <c r="M37" s="47">
        <f>M35/10</f>
        <v>1.9331996095756653E-2</v>
      </c>
    </row>
    <row r="39" spans="1:13" x14ac:dyDescent="0.35">
      <c r="B39" t="s">
        <v>59</v>
      </c>
      <c r="I39" t="s">
        <v>66</v>
      </c>
    </row>
    <row r="41" spans="1:13" x14ac:dyDescent="0.35">
      <c r="A41" s="47" t="s">
        <v>1</v>
      </c>
      <c r="B41" s="47" t="s">
        <v>64</v>
      </c>
      <c r="C41" s="47" t="s">
        <v>65</v>
      </c>
      <c r="D41" s="47" t="s">
        <v>62</v>
      </c>
      <c r="E41" s="47" t="s">
        <v>63</v>
      </c>
      <c r="F41" s="47" t="s">
        <v>55</v>
      </c>
      <c r="H41" s="47" t="s">
        <v>1</v>
      </c>
      <c r="I41" s="47" t="s">
        <v>64</v>
      </c>
      <c r="J41" s="47" t="s">
        <v>58</v>
      </c>
      <c r="K41" s="47" t="s">
        <v>62</v>
      </c>
      <c r="L41" s="47" t="s">
        <v>61</v>
      </c>
      <c r="M41" s="47" t="s">
        <v>55</v>
      </c>
    </row>
    <row r="42" spans="1:13" x14ac:dyDescent="0.35">
      <c r="A42" s="36">
        <v>2013</v>
      </c>
      <c r="B42" s="34">
        <f>C6</f>
        <v>0.20520287769784171</v>
      </c>
      <c r="C42" s="34">
        <f>B42</f>
        <v>0.20520287769784171</v>
      </c>
      <c r="D42" s="34">
        <f>E6</f>
        <v>-6.7546728526318683E-2</v>
      </c>
      <c r="E42" s="34">
        <f>D42</f>
        <v>-6.7546728526318683E-2</v>
      </c>
      <c r="F42" s="55">
        <f>D42*E42</f>
        <v>4.5625605346081939E-3</v>
      </c>
      <c r="H42" s="36">
        <v>2013</v>
      </c>
      <c r="I42" s="34">
        <f>B42</f>
        <v>0.20520287769784171</v>
      </c>
      <c r="J42" s="1">
        <f>C24</f>
        <v>0.12883783783783784</v>
      </c>
      <c r="K42" s="34">
        <f>D42</f>
        <v>-6.7546728526318683E-2</v>
      </c>
      <c r="L42" s="1">
        <f>E24</f>
        <v>-8.0537080610928208E-2</v>
      </c>
      <c r="M42" s="1">
        <f>K42*L42</f>
        <v>5.4400163203286115E-3</v>
      </c>
    </row>
    <row r="43" spans="1:13" x14ac:dyDescent="0.35">
      <c r="A43" s="36">
        <v>2014</v>
      </c>
      <c r="B43" s="34">
        <f t="shared" ref="B43:B52" si="11">C7</f>
        <v>0.78436351724137932</v>
      </c>
      <c r="C43" s="34">
        <f t="shared" ref="C43:C54" si="12">B43</f>
        <v>0.78436351724137932</v>
      </c>
      <c r="D43" s="34">
        <f t="shared" ref="D43:D52" si="13">E7</f>
        <v>0.51161391101721887</v>
      </c>
      <c r="E43" s="34">
        <f t="shared" ref="E43:E52" si="14">D43</f>
        <v>0.51161391101721887</v>
      </c>
      <c r="F43" s="55">
        <f t="shared" ref="F43:F52" si="15">D43*E43</f>
        <v>0.26174879394633477</v>
      </c>
      <c r="H43" s="36">
        <v>2014</v>
      </c>
      <c r="I43" s="34">
        <f t="shared" ref="I43:I52" si="16">B43</f>
        <v>0.78436351724137932</v>
      </c>
      <c r="J43" s="1">
        <f t="shared" ref="J43:J52" si="17">C25</f>
        <v>0.6180810126582279</v>
      </c>
      <c r="K43" s="34">
        <f t="shared" ref="K43:K52" si="18">D43</f>
        <v>0.51161391101721887</v>
      </c>
      <c r="L43" s="1">
        <f t="shared" ref="L43:L52" si="19">E25</f>
        <v>0.40870609420946186</v>
      </c>
      <c r="M43" s="1">
        <f t="shared" ref="M43:M52" si="20">K43*L43</f>
        <v>0.2090997233150747</v>
      </c>
    </row>
    <row r="44" spans="1:13" x14ac:dyDescent="0.35">
      <c r="A44" s="36">
        <v>2015</v>
      </c>
      <c r="B44" s="34">
        <f t="shared" si="11"/>
        <v>0.1072107296137339</v>
      </c>
      <c r="C44" s="34">
        <f t="shared" si="12"/>
        <v>0.1072107296137339</v>
      </c>
      <c r="D44" s="34">
        <f t="shared" si="13"/>
        <v>-0.16553887661042649</v>
      </c>
      <c r="E44" s="34">
        <f t="shared" si="14"/>
        <v>-0.16553887661042649</v>
      </c>
      <c r="F44" s="55">
        <f t="shared" si="15"/>
        <v>2.7403119669442005E-2</v>
      </c>
      <c r="H44" s="36">
        <v>2015</v>
      </c>
      <c r="I44" s="34">
        <f t="shared" si="16"/>
        <v>0.1072107296137339</v>
      </c>
      <c r="J44" s="1">
        <f t="shared" si="17"/>
        <v>1.2967098360655743E-2</v>
      </c>
      <c r="K44" s="34">
        <f t="shared" si="18"/>
        <v>-0.16553887661042649</v>
      </c>
      <c r="L44" s="1">
        <f t="shared" si="19"/>
        <v>-0.19640782008811031</v>
      </c>
      <c r="M44" s="1">
        <f t="shared" si="20"/>
        <v>3.251312989488854E-2</v>
      </c>
    </row>
    <row r="45" spans="1:13" x14ac:dyDescent="0.35">
      <c r="A45" s="36">
        <v>2016</v>
      </c>
      <c r="B45" s="34">
        <f t="shared" si="11"/>
        <v>0.15827628008752734</v>
      </c>
      <c r="C45" s="34">
        <f t="shared" si="12"/>
        <v>0.15827628008752734</v>
      </c>
      <c r="D45" s="34">
        <f t="shared" si="13"/>
        <v>-0.11447332613663305</v>
      </c>
      <c r="E45" s="34">
        <f t="shared" si="14"/>
        <v>-0.11447332613663305</v>
      </c>
      <c r="F45" s="55">
        <f t="shared" si="15"/>
        <v>1.3104142396783956E-2</v>
      </c>
      <c r="H45" s="36">
        <v>2016</v>
      </c>
      <c r="I45" s="34">
        <f t="shared" si="16"/>
        <v>0.15827628008752734</v>
      </c>
      <c r="J45" s="1">
        <f t="shared" si="17"/>
        <v>-2.0362030560271645E-2</v>
      </c>
      <c r="K45" s="34">
        <f t="shared" si="18"/>
        <v>-0.11447332613663305</v>
      </c>
      <c r="L45" s="1">
        <f t="shared" si="19"/>
        <v>-0.22973694900903768</v>
      </c>
      <c r="M45" s="1">
        <f t="shared" si="20"/>
        <v>2.6298752689546609E-2</v>
      </c>
    </row>
    <row r="46" spans="1:13" x14ac:dyDescent="0.35">
      <c r="A46" s="36">
        <v>2017</v>
      </c>
      <c r="B46" s="34">
        <f t="shared" si="11"/>
        <v>0.74244346466809419</v>
      </c>
      <c r="C46" s="34">
        <f t="shared" si="12"/>
        <v>0.74244346466809419</v>
      </c>
      <c r="D46" s="34">
        <f t="shared" si="13"/>
        <v>0.4696938584439338</v>
      </c>
      <c r="E46" s="34">
        <f t="shared" si="14"/>
        <v>0.4696938584439338</v>
      </c>
      <c r="F46" s="55">
        <f t="shared" si="15"/>
        <v>0.22061232065995012</v>
      </c>
      <c r="H46" s="36">
        <v>2017</v>
      </c>
      <c r="I46" s="34">
        <f t="shared" si="16"/>
        <v>0.74244346466809419</v>
      </c>
      <c r="J46" s="1">
        <f t="shared" si="17"/>
        <v>0.86888935746606333</v>
      </c>
      <c r="K46" s="34">
        <f t="shared" si="18"/>
        <v>0.4696938584439338</v>
      </c>
      <c r="L46" s="1">
        <f t="shared" si="19"/>
        <v>0.65951443901729734</v>
      </c>
      <c r="M46" s="1">
        <f t="shared" si="20"/>
        <v>0.30976988156152085</v>
      </c>
    </row>
    <row r="47" spans="1:13" x14ac:dyDescent="0.35">
      <c r="A47" s="36">
        <v>2018</v>
      </c>
      <c r="B47" s="34">
        <f t="shared" si="11"/>
        <v>3.4820568681318678E-2</v>
      </c>
      <c r="C47" s="34">
        <f t="shared" si="12"/>
        <v>3.4820568681318678E-2</v>
      </c>
      <c r="D47" s="34">
        <f t="shared" si="13"/>
        <v>-0.23792903754284173</v>
      </c>
      <c r="E47" s="34">
        <f t="shared" si="14"/>
        <v>-0.23792903754284173</v>
      </c>
      <c r="F47" s="55">
        <f t="shared" si="15"/>
        <v>5.6610226906062988E-2</v>
      </c>
      <c r="H47" s="36">
        <v>2018</v>
      </c>
      <c r="I47" s="34">
        <f t="shared" si="16"/>
        <v>3.4820568681318678E-2</v>
      </c>
      <c r="J47" s="1">
        <f t="shared" si="17"/>
        <v>-5.9483741414141415E-2</v>
      </c>
      <c r="K47" s="34">
        <f t="shared" si="18"/>
        <v>-0.23792903754284173</v>
      </c>
      <c r="L47" s="1">
        <f t="shared" si="19"/>
        <v>-0.26885865986290747</v>
      </c>
      <c r="M47" s="1">
        <f t="shared" si="20"/>
        <v>6.3969282176239831E-2</v>
      </c>
    </row>
    <row r="48" spans="1:13" x14ac:dyDescent="0.35">
      <c r="A48" s="36">
        <v>2019</v>
      </c>
      <c r="B48" s="34">
        <f t="shared" si="11"/>
        <v>0.23829896994535518</v>
      </c>
      <c r="C48" s="34">
        <f t="shared" si="12"/>
        <v>0.23829896994535518</v>
      </c>
      <c r="D48" s="34">
        <f t="shared" si="13"/>
        <v>-3.4450636278805208E-2</v>
      </c>
      <c r="E48" s="34">
        <f t="shared" si="14"/>
        <v>-3.4450636278805208E-2</v>
      </c>
      <c r="F48" s="55">
        <f t="shared" si="15"/>
        <v>1.1868463400145296E-3</v>
      </c>
      <c r="H48" s="36">
        <v>2019</v>
      </c>
      <c r="I48" s="34">
        <f t="shared" si="16"/>
        <v>0.23829896994535518</v>
      </c>
      <c r="J48" s="1">
        <f t="shared" si="17"/>
        <v>-6.2206920454545463E-2</v>
      </c>
      <c r="K48" s="34">
        <f t="shared" si="18"/>
        <v>-3.4450636278805208E-2</v>
      </c>
      <c r="L48" s="1">
        <f t="shared" si="19"/>
        <v>-0.2715818389033115</v>
      </c>
      <c r="M48" s="1">
        <f t="shared" si="20"/>
        <v>9.3561671519870552E-3</v>
      </c>
    </row>
    <row r="49" spans="1:13" x14ac:dyDescent="0.35">
      <c r="A49" s="36">
        <v>2020</v>
      </c>
      <c r="B49" s="34">
        <f t="shared" si="11"/>
        <v>-1.4044956818181818E-2</v>
      </c>
      <c r="C49" s="34">
        <f t="shared" si="12"/>
        <v>-1.4044956818181818E-2</v>
      </c>
      <c r="D49" s="34">
        <f t="shared" si="13"/>
        <v>-0.28679456304234219</v>
      </c>
      <c r="E49" s="34">
        <f t="shared" si="14"/>
        <v>-0.28679456304234219</v>
      </c>
      <c r="F49" s="55">
        <f t="shared" si="15"/>
        <v>8.2251121390647983E-2</v>
      </c>
      <c r="H49" s="36">
        <v>2020</v>
      </c>
      <c r="I49" s="34">
        <f t="shared" si="16"/>
        <v>-1.4044956818181818E-2</v>
      </c>
      <c r="J49" s="1">
        <f t="shared" si="17"/>
        <v>-0.16083030063694267</v>
      </c>
      <c r="K49" s="34">
        <f t="shared" si="18"/>
        <v>-0.28679456304234219</v>
      </c>
      <c r="L49" s="1">
        <f t="shared" si="19"/>
        <v>-0.37020521908570869</v>
      </c>
      <c r="M49" s="1">
        <f t="shared" si="20"/>
        <v>0.10617284404368038</v>
      </c>
    </row>
    <row r="50" spans="1:13" x14ac:dyDescent="0.35">
      <c r="A50" s="36">
        <v>2021</v>
      </c>
      <c r="B50" s="34">
        <f t="shared" si="11"/>
        <v>9.329894244604316E-3</v>
      </c>
      <c r="C50" s="34">
        <f t="shared" si="12"/>
        <v>9.329894244604316E-3</v>
      </c>
      <c r="D50" s="34">
        <f t="shared" si="13"/>
        <v>-0.26341971197955605</v>
      </c>
      <c r="E50" s="34">
        <f t="shared" si="14"/>
        <v>-0.26341971197955605</v>
      </c>
      <c r="F50" s="55">
        <f t="shared" si="15"/>
        <v>6.9389944659392258E-2</v>
      </c>
      <c r="H50" s="36">
        <v>2021</v>
      </c>
      <c r="I50" s="34">
        <f t="shared" si="16"/>
        <v>9.329894244604316E-3</v>
      </c>
      <c r="J50" s="1">
        <f t="shared" si="17"/>
        <v>0.10737574834008097</v>
      </c>
      <c r="K50" s="34">
        <f t="shared" si="18"/>
        <v>-0.26341971197955605</v>
      </c>
      <c r="L50" s="1">
        <f t="shared" si="19"/>
        <v>-0.10199917010868507</v>
      </c>
      <c r="M50" s="1">
        <f t="shared" si="20"/>
        <v>2.6868592012183563E-2</v>
      </c>
    </row>
    <row r="51" spans="1:13" x14ac:dyDescent="0.35">
      <c r="A51" s="36">
        <v>2022</v>
      </c>
      <c r="B51" s="34">
        <f t="shared" si="11"/>
        <v>0.24434342335766424</v>
      </c>
      <c r="C51" s="34">
        <f t="shared" si="12"/>
        <v>0.24434342335766424</v>
      </c>
      <c r="D51" s="34">
        <f t="shared" si="13"/>
        <v>-2.8406182866496155E-2</v>
      </c>
      <c r="E51" s="34">
        <f t="shared" si="14"/>
        <v>-2.8406182866496155E-2</v>
      </c>
      <c r="F51" s="55">
        <f t="shared" si="15"/>
        <v>8.0691122504481969E-4</v>
      </c>
      <c r="H51" s="36">
        <v>2022</v>
      </c>
      <c r="I51" s="34">
        <f t="shared" si="16"/>
        <v>0.24434342335766424</v>
      </c>
      <c r="J51" s="1">
        <f t="shared" si="17"/>
        <v>0.41001389037037034</v>
      </c>
      <c r="K51" s="34">
        <f t="shared" si="18"/>
        <v>-2.8406182866496155E-2</v>
      </c>
      <c r="L51" s="1">
        <f t="shared" si="19"/>
        <v>0.20063897192160429</v>
      </c>
      <c r="M51" s="1">
        <f t="shared" si="20"/>
        <v>-5.6993873265508786E-3</v>
      </c>
    </row>
    <row r="52" spans="1:13" ht="15" thickBot="1" x14ac:dyDescent="0.4">
      <c r="A52" s="50">
        <v>2023</v>
      </c>
      <c r="B52" s="63">
        <f t="shared" si="11"/>
        <v>0.21725129352226719</v>
      </c>
      <c r="C52" s="63">
        <f t="shared" si="12"/>
        <v>0.21725129352226719</v>
      </c>
      <c r="D52" s="63">
        <f t="shared" si="13"/>
        <v>-5.5498312701893204E-2</v>
      </c>
      <c r="E52" s="63">
        <f t="shared" si="14"/>
        <v>-5.5498312701893204E-2</v>
      </c>
      <c r="F52" s="64">
        <f t="shared" si="15"/>
        <v>3.0800627127571204E-3</v>
      </c>
      <c r="H52" s="50">
        <v>2023</v>
      </c>
      <c r="I52" s="63">
        <f t="shared" si="16"/>
        <v>0.21725129352226719</v>
      </c>
      <c r="J52" s="61">
        <f t="shared" si="17"/>
        <v>0.25046723252032521</v>
      </c>
      <c r="K52" s="63">
        <f t="shared" si="18"/>
        <v>-5.5498312701893204E-2</v>
      </c>
      <c r="L52" s="61">
        <f t="shared" si="19"/>
        <v>4.1092314071559166E-2</v>
      </c>
      <c r="M52" s="61">
        <f t="shared" si="20"/>
        <v>-2.2805540959877969E-3</v>
      </c>
    </row>
    <row r="53" spans="1:13" x14ac:dyDescent="0.35">
      <c r="A53" s="62" t="s">
        <v>20</v>
      </c>
      <c r="B53" s="32">
        <f>SUM(B42:B52)</f>
        <v>2.7274960622416038</v>
      </c>
      <c r="C53" s="32">
        <f t="shared" si="12"/>
        <v>2.7274960622416038</v>
      </c>
      <c r="D53" s="43"/>
      <c r="E53" s="43"/>
      <c r="F53" s="43">
        <f>SUM(F42:F52)</f>
        <v>0.74075605044103876</v>
      </c>
      <c r="H53" s="65" t="s">
        <v>20</v>
      </c>
      <c r="I53" s="66">
        <f>SUM(I42:I52)</f>
        <v>2.7274960622416038</v>
      </c>
      <c r="J53" s="67">
        <f>SUM(J42:J52)</f>
        <v>2.0937491844876606</v>
      </c>
      <c r="K53" s="67"/>
      <c r="L53" s="67"/>
      <c r="M53" s="67">
        <f>SUM(M42:M52)</f>
        <v>0.78150844774291162</v>
      </c>
    </row>
    <row r="54" spans="1:13" x14ac:dyDescent="0.35">
      <c r="A54" s="47" t="s">
        <v>67</v>
      </c>
      <c r="B54" s="34">
        <f>B53/10</f>
        <v>0.27274960622416039</v>
      </c>
      <c r="C54" s="34">
        <f t="shared" si="12"/>
        <v>0.27274960622416039</v>
      </c>
      <c r="D54" s="1"/>
      <c r="E54" s="1"/>
      <c r="F54" s="1"/>
      <c r="H54" s="47" t="s">
        <v>67</v>
      </c>
      <c r="I54" s="57">
        <f>I53/10</f>
        <v>0.27274960622416039</v>
      </c>
      <c r="J54" s="47">
        <f>J53/10</f>
        <v>0.20937491844876605</v>
      </c>
      <c r="K54" s="1"/>
      <c r="L54" s="1"/>
      <c r="M54" s="1"/>
    </row>
    <row r="55" spans="1:13" ht="15" thickBot="1" x14ac:dyDescent="0.4">
      <c r="A55" s="31" t="s">
        <v>41</v>
      </c>
      <c r="B55" s="61"/>
      <c r="C55" s="61"/>
      <c r="D55" s="61"/>
      <c r="E55" s="61"/>
      <c r="F55" s="31">
        <f>F53/10</f>
        <v>7.4075605044103876E-2</v>
      </c>
      <c r="H55" s="31" t="s">
        <v>41</v>
      </c>
      <c r="I55" s="61"/>
      <c r="J55" s="61"/>
      <c r="K55" s="61"/>
      <c r="L55" s="61"/>
      <c r="M55" s="31">
        <f>M53/10</f>
        <v>7.8150844774291156E-2</v>
      </c>
    </row>
    <row r="57" spans="1:13" x14ac:dyDescent="0.35">
      <c r="B57" t="s">
        <v>68</v>
      </c>
      <c r="I57" t="s">
        <v>70</v>
      </c>
    </row>
    <row r="58" spans="1:13" x14ac:dyDescent="0.35">
      <c r="A58" s="47" t="s">
        <v>1</v>
      </c>
      <c r="B58" s="47" t="s">
        <v>64</v>
      </c>
      <c r="C58" s="47" t="s">
        <v>57</v>
      </c>
      <c r="D58" s="47" t="s">
        <v>60</v>
      </c>
      <c r="E58" s="47" t="s">
        <v>61</v>
      </c>
      <c r="F58" s="47" t="s">
        <v>69</v>
      </c>
      <c r="H58" s="47" t="s">
        <v>1</v>
      </c>
      <c r="I58" s="47" t="s">
        <v>71</v>
      </c>
      <c r="J58" s="47" t="s">
        <v>58</v>
      </c>
      <c r="K58" s="47" t="s">
        <v>60</v>
      </c>
      <c r="L58" s="47" t="s">
        <v>61</v>
      </c>
      <c r="M58" s="47" t="s">
        <v>69</v>
      </c>
    </row>
    <row r="59" spans="1:13" x14ac:dyDescent="0.35">
      <c r="A59" s="36">
        <v>2013</v>
      </c>
      <c r="B59" s="34">
        <f>B42</f>
        <v>0.20520287769784171</v>
      </c>
      <c r="C59" s="1">
        <f>J24</f>
        <v>6.7574316049382716E-2</v>
      </c>
      <c r="D59" s="34">
        <f>D42</f>
        <v>-6.7546728526318683E-2</v>
      </c>
      <c r="E59" s="1">
        <f>L24</f>
        <v>-0.16754481945878166</v>
      </c>
      <c r="F59" s="1">
        <f>D59*E59</f>
        <v>1.1317104435973401E-2</v>
      </c>
      <c r="H59" s="1">
        <v>2013</v>
      </c>
      <c r="I59" s="1">
        <f>J42</f>
        <v>0.12883783783783784</v>
      </c>
      <c r="J59" s="1">
        <f>I59</f>
        <v>0.12883783783783784</v>
      </c>
      <c r="K59" s="1">
        <f>L42</f>
        <v>-8.0537080610928208E-2</v>
      </c>
      <c r="L59" s="1">
        <f>K59</f>
        <v>-8.0537080610928208E-2</v>
      </c>
      <c r="M59" s="1">
        <f>K59*L59</f>
        <v>6.4862213533311485E-3</v>
      </c>
    </row>
    <row r="60" spans="1:13" x14ac:dyDescent="0.35">
      <c r="A60" s="36">
        <v>2014</v>
      </c>
      <c r="B60" s="34">
        <f t="shared" ref="B60:B69" si="21">B43</f>
        <v>0.78436351724137932</v>
      </c>
      <c r="C60" s="1">
        <f t="shared" ref="C60:C69" si="22">J25</f>
        <v>0.49187171974522298</v>
      </c>
      <c r="D60" s="34">
        <f t="shared" ref="D60:D69" si="23">D43</f>
        <v>0.51161391101721887</v>
      </c>
      <c r="E60" s="1">
        <f t="shared" ref="E60:E69" si="24">L25</f>
        <v>0.2567525842370586</v>
      </c>
      <c r="F60" s="1">
        <f t="shared" ref="F60:F69" si="25">D60*E60</f>
        <v>0.1313581937852995</v>
      </c>
      <c r="H60" s="1">
        <v>2014</v>
      </c>
      <c r="I60" s="1">
        <f t="shared" ref="I60:I69" si="26">J43</f>
        <v>0.6180810126582279</v>
      </c>
      <c r="J60" s="1">
        <f t="shared" ref="J60:J71" si="27">I60</f>
        <v>0.6180810126582279</v>
      </c>
      <c r="K60" s="1">
        <f t="shared" ref="K60:K69" si="28">L43</f>
        <v>0.40870609420946186</v>
      </c>
      <c r="L60" s="1">
        <f t="shared" ref="L60:L69" si="29">K60</f>
        <v>0.40870609420946186</v>
      </c>
      <c r="M60" s="1">
        <f t="shared" ref="M60:M69" si="30">K60*L60</f>
        <v>0.16704067144395351</v>
      </c>
    </row>
    <row r="61" spans="1:13" x14ac:dyDescent="0.35">
      <c r="A61" s="36">
        <v>2015</v>
      </c>
      <c r="B61" s="34">
        <f t="shared" si="21"/>
        <v>0.1072107296137339</v>
      </c>
      <c r="C61" s="1">
        <f t="shared" si="22"/>
        <v>-6.2491723433874706E-2</v>
      </c>
      <c r="D61" s="34">
        <f t="shared" si="23"/>
        <v>-0.16553887661042649</v>
      </c>
      <c r="E61" s="1">
        <f t="shared" si="24"/>
        <v>-0.29761085894203909</v>
      </c>
      <c r="F61" s="1">
        <f t="shared" si="25"/>
        <v>4.9266167256329249E-2</v>
      </c>
      <c r="H61" s="1">
        <v>2015</v>
      </c>
      <c r="I61" s="1">
        <f t="shared" si="26"/>
        <v>1.2967098360655743E-2</v>
      </c>
      <c r="J61" s="1">
        <f t="shared" si="27"/>
        <v>1.2967098360655743E-2</v>
      </c>
      <c r="K61" s="1">
        <f t="shared" si="28"/>
        <v>-0.19640782008811031</v>
      </c>
      <c r="L61" s="1">
        <f t="shared" si="29"/>
        <v>-0.19640782008811031</v>
      </c>
      <c r="M61" s="1">
        <f t="shared" si="30"/>
        <v>3.8576031791763506E-2</v>
      </c>
    </row>
    <row r="62" spans="1:13" x14ac:dyDescent="0.35">
      <c r="A62" s="36">
        <v>2016</v>
      </c>
      <c r="B62" s="34">
        <f t="shared" si="21"/>
        <v>0.15827628008752734</v>
      </c>
      <c r="C62" s="1">
        <f t="shared" si="22"/>
        <v>0.36441062918918915</v>
      </c>
      <c r="D62" s="34">
        <f t="shared" si="23"/>
        <v>-0.11447332613663305</v>
      </c>
      <c r="E62" s="1">
        <f t="shared" si="24"/>
        <v>0.12929149368102477</v>
      </c>
      <c r="F62" s="1">
        <f t="shared" si="25"/>
        <v>-1.4800427322840381E-2</v>
      </c>
      <c r="H62" s="1">
        <v>2016</v>
      </c>
      <c r="I62" s="1">
        <f t="shared" si="26"/>
        <v>-2.0362030560271645E-2</v>
      </c>
      <c r="J62" s="1">
        <f t="shared" si="27"/>
        <v>-2.0362030560271645E-2</v>
      </c>
      <c r="K62" s="1">
        <f t="shared" si="28"/>
        <v>-0.22973694900903768</v>
      </c>
      <c r="L62" s="1">
        <f t="shared" si="29"/>
        <v>-0.22973694900903768</v>
      </c>
      <c r="M62" s="1">
        <f t="shared" si="30"/>
        <v>5.2779065739981181E-2</v>
      </c>
    </row>
    <row r="63" spans="1:13" x14ac:dyDescent="0.35">
      <c r="A63" s="36">
        <v>2017</v>
      </c>
      <c r="B63" s="34">
        <f t="shared" si="21"/>
        <v>0.74244346466809419</v>
      </c>
      <c r="C63" s="1">
        <f t="shared" si="22"/>
        <v>0.47430478444924407</v>
      </c>
      <c r="D63" s="34">
        <f t="shared" si="23"/>
        <v>0.4696938584439338</v>
      </c>
      <c r="E63" s="1">
        <f t="shared" si="24"/>
        <v>0.23918564894107969</v>
      </c>
      <c r="F63" s="1">
        <f t="shared" si="25"/>
        <v>0.11234403033555193</v>
      </c>
      <c r="H63" s="1">
        <v>2017</v>
      </c>
      <c r="I63" s="1">
        <f t="shared" si="26"/>
        <v>0.86888935746606333</v>
      </c>
      <c r="J63" s="1">
        <f t="shared" si="27"/>
        <v>0.86888935746606333</v>
      </c>
      <c r="K63" s="1">
        <f t="shared" si="28"/>
        <v>0.65951443901729734</v>
      </c>
      <c r="L63" s="1">
        <f t="shared" si="29"/>
        <v>0.65951443901729734</v>
      </c>
      <c r="M63" s="1">
        <f t="shared" si="30"/>
        <v>0.43495929527230043</v>
      </c>
    </row>
    <row r="64" spans="1:13" x14ac:dyDescent="0.35">
      <c r="A64" s="36">
        <v>2018</v>
      </c>
      <c r="B64" s="34">
        <f t="shared" si="21"/>
        <v>3.4820568681318678E-2</v>
      </c>
      <c r="C64" s="1">
        <f t="shared" si="22"/>
        <v>-2.8368622499999999E-2</v>
      </c>
      <c r="D64" s="34">
        <f t="shared" si="23"/>
        <v>-0.23792903754284173</v>
      </c>
      <c r="E64" s="1">
        <f t="shared" si="24"/>
        <v>-0.26348775800816437</v>
      </c>
      <c r="F64" s="1">
        <f t="shared" si="25"/>
        <v>6.2691388667203737E-2</v>
      </c>
      <c r="H64" s="1">
        <v>2018</v>
      </c>
      <c r="I64" s="1">
        <f t="shared" si="26"/>
        <v>-5.9483741414141415E-2</v>
      </c>
      <c r="J64" s="1">
        <f t="shared" si="27"/>
        <v>-5.9483741414141415E-2</v>
      </c>
      <c r="K64" s="1">
        <f t="shared" si="28"/>
        <v>-0.26885865986290747</v>
      </c>
      <c r="L64" s="1">
        <f t="shared" si="29"/>
        <v>-0.26885865986290747</v>
      </c>
      <c r="M64" s="1">
        <f t="shared" si="30"/>
        <v>7.2284978983278569E-2</v>
      </c>
    </row>
    <row r="65" spans="1:13" x14ac:dyDescent="0.35">
      <c r="A65" s="36">
        <v>2019</v>
      </c>
      <c r="B65" s="34">
        <f t="shared" si="21"/>
        <v>0.23829896994535518</v>
      </c>
      <c r="C65" s="1">
        <f t="shared" si="22"/>
        <v>0.10609254779661018</v>
      </c>
      <c r="D65" s="34">
        <f t="shared" si="23"/>
        <v>-3.4450636278805208E-2</v>
      </c>
      <c r="E65" s="1">
        <f t="shared" si="24"/>
        <v>-0.1290265877115542</v>
      </c>
      <c r="F65" s="1">
        <f t="shared" si="25"/>
        <v>4.4450480435461112E-3</v>
      </c>
      <c r="H65" s="1">
        <v>2019</v>
      </c>
      <c r="I65" s="1">
        <f t="shared" si="26"/>
        <v>-6.2206920454545463E-2</v>
      </c>
      <c r="J65" s="1">
        <f t="shared" si="27"/>
        <v>-6.2206920454545463E-2</v>
      </c>
      <c r="K65" s="1">
        <f t="shared" si="28"/>
        <v>-0.2715818389033115</v>
      </c>
      <c r="L65" s="1">
        <f t="shared" si="29"/>
        <v>-0.2715818389033115</v>
      </c>
      <c r="M65" s="1">
        <f t="shared" si="30"/>
        <v>7.3756695222104235E-2</v>
      </c>
    </row>
    <row r="66" spans="1:13" x14ac:dyDescent="0.35">
      <c r="A66" s="36">
        <v>2020</v>
      </c>
      <c r="B66" s="34">
        <f t="shared" si="21"/>
        <v>-1.4044956818181818E-2</v>
      </c>
      <c r="C66" s="1">
        <f t="shared" si="22"/>
        <v>-8.3819749837133556E-2</v>
      </c>
      <c r="D66" s="34">
        <f t="shared" si="23"/>
        <v>-0.28679456304234219</v>
      </c>
      <c r="E66" s="1">
        <f t="shared" si="24"/>
        <v>-0.31893888534529791</v>
      </c>
      <c r="F66" s="1">
        <f t="shared" si="25"/>
        <v>9.1469938259816391E-2</v>
      </c>
      <c r="H66" s="1">
        <v>2020</v>
      </c>
      <c r="I66" s="1">
        <f t="shared" si="26"/>
        <v>-0.16083030063694267</v>
      </c>
      <c r="J66" s="1">
        <f t="shared" si="27"/>
        <v>-0.16083030063694267</v>
      </c>
      <c r="K66" s="1">
        <f t="shared" si="28"/>
        <v>-0.37020521908570869</v>
      </c>
      <c r="L66" s="1">
        <f t="shared" si="29"/>
        <v>-0.37020521908570869</v>
      </c>
      <c r="M66" s="1">
        <f t="shared" si="30"/>
        <v>0.13705190423829758</v>
      </c>
    </row>
    <row r="67" spans="1:13" x14ac:dyDescent="0.35">
      <c r="A67" s="36">
        <v>2021</v>
      </c>
      <c r="B67" s="34">
        <f t="shared" si="21"/>
        <v>9.329894244604316E-3</v>
      </c>
      <c r="C67" s="1">
        <f t="shared" si="22"/>
        <v>0.1803230861660079</v>
      </c>
      <c r="D67" s="34">
        <f t="shared" si="23"/>
        <v>-0.26341971197955605</v>
      </c>
      <c r="E67" s="1">
        <f t="shared" si="24"/>
        <v>-5.4796049342156483E-2</v>
      </c>
      <c r="F67" s="1">
        <f t="shared" si="25"/>
        <v>1.4434359535328402E-2</v>
      </c>
      <c r="H67" s="1">
        <v>2021</v>
      </c>
      <c r="I67" s="1">
        <f t="shared" si="26"/>
        <v>0.10737574834008097</v>
      </c>
      <c r="J67" s="1">
        <f t="shared" si="27"/>
        <v>0.10737574834008097</v>
      </c>
      <c r="K67" s="1">
        <f t="shared" si="28"/>
        <v>-0.10199917010868507</v>
      </c>
      <c r="L67" s="1">
        <f t="shared" si="29"/>
        <v>-0.10199917010868507</v>
      </c>
      <c r="M67" s="1">
        <f t="shared" si="30"/>
        <v>1.0403830702860476E-2</v>
      </c>
    </row>
    <row r="68" spans="1:13" x14ac:dyDescent="0.35">
      <c r="A68" s="36">
        <v>2022</v>
      </c>
      <c r="B68" s="34">
        <f t="shared" si="21"/>
        <v>0.24434342335766424</v>
      </c>
      <c r="C68" s="1">
        <f t="shared" si="22"/>
        <v>0.51548343345195724</v>
      </c>
      <c r="D68" s="34">
        <f t="shared" si="23"/>
        <v>-2.8406182866496155E-2</v>
      </c>
      <c r="E68" s="1">
        <f t="shared" si="24"/>
        <v>0.28036429794379286</v>
      </c>
      <c r="F68" s="1">
        <f t="shared" si="25"/>
        <v>-7.9640795166281923E-3</v>
      </c>
      <c r="H68" s="1">
        <v>2022</v>
      </c>
      <c r="I68" s="1">
        <f t="shared" si="26"/>
        <v>0.41001389037037034</v>
      </c>
      <c r="J68" s="1">
        <f t="shared" si="27"/>
        <v>0.41001389037037034</v>
      </c>
      <c r="K68" s="1">
        <f t="shared" si="28"/>
        <v>0.20063897192160429</v>
      </c>
      <c r="L68" s="1">
        <f t="shared" si="29"/>
        <v>0.20063897192160429</v>
      </c>
      <c r="M68" s="1">
        <f t="shared" si="30"/>
        <v>4.0255997053758319E-2</v>
      </c>
    </row>
    <row r="69" spans="1:13" ht="15" thickBot="1" x14ac:dyDescent="0.4">
      <c r="A69" s="50">
        <v>2023</v>
      </c>
      <c r="B69" s="63">
        <f t="shared" si="21"/>
        <v>0.21725129352226719</v>
      </c>
      <c r="C69" s="61">
        <f t="shared" si="22"/>
        <v>0.3258109340050378</v>
      </c>
      <c r="D69" s="63">
        <f t="shared" si="23"/>
        <v>-5.5498312701893204E-2</v>
      </c>
      <c r="E69" s="61">
        <f t="shared" si="24"/>
        <v>9.0691798496873421E-2</v>
      </c>
      <c r="F69" s="61">
        <f t="shared" si="25"/>
        <v>-5.0332417924765695E-3</v>
      </c>
      <c r="H69" s="61">
        <v>2023</v>
      </c>
      <c r="I69" s="61">
        <f t="shared" si="26"/>
        <v>0.25046723252032521</v>
      </c>
      <c r="J69" s="61">
        <f t="shared" si="27"/>
        <v>0.25046723252032521</v>
      </c>
      <c r="K69" s="61">
        <f t="shared" si="28"/>
        <v>4.1092314071559166E-2</v>
      </c>
      <c r="L69" s="61">
        <f t="shared" si="29"/>
        <v>4.1092314071559166E-2</v>
      </c>
      <c r="M69" s="61">
        <f t="shared" si="30"/>
        <v>1.6885782757556595E-3</v>
      </c>
    </row>
    <row r="70" spans="1:13" ht="15" thickBot="1" x14ac:dyDescent="0.4">
      <c r="A70" s="68" t="s">
        <v>20</v>
      </c>
      <c r="B70" s="69">
        <f>SUM(B59:B69)</f>
        <v>2.7274960622416038</v>
      </c>
      <c r="C70" s="70">
        <f>SUM(C59:C69)</f>
        <v>2.3511913550816437</v>
      </c>
      <c r="D70" s="70"/>
      <c r="E70" s="70"/>
      <c r="F70" s="70">
        <f>SUM(F59:F69)</f>
        <v>0.44952848168710369</v>
      </c>
      <c r="H70" s="68" t="s">
        <v>20</v>
      </c>
      <c r="I70" s="70">
        <f>SUM(I59:I69)</f>
        <v>2.0937491844876606</v>
      </c>
      <c r="J70" s="70">
        <f t="shared" si="27"/>
        <v>2.0937491844876606</v>
      </c>
      <c r="K70" s="70"/>
      <c r="L70" s="70"/>
      <c r="M70" s="70">
        <f>SUM(M59:M69)</f>
        <v>1.0352832700773846</v>
      </c>
    </row>
    <row r="71" spans="1:13" ht="15" thickBot="1" x14ac:dyDescent="0.4">
      <c r="A71" s="68" t="s">
        <v>67</v>
      </c>
      <c r="B71" s="68">
        <f>B70/10</f>
        <v>0.27274960622416039</v>
      </c>
      <c r="C71" s="68">
        <f>C70/10</f>
        <v>0.23511913550816438</v>
      </c>
      <c r="D71" s="70"/>
      <c r="E71" s="70"/>
      <c r="F71" s="70"/>
      <c r="H71" s="68" t="s">
        <v>67</v>
      </c>
      <c r="I71" s="68">
        <f>I70/10</f>
        <v>0.20937491844876605</v>
      </c>
      <c r="J71" s="68">
        <f t="shared" si="27"/>
        <v>0.20937491844876605</v>
      </c>
      <c r="K71" s="70"/>
      <c r="L71" s="70"/>
      <c r="M71" s="70"/>
    </row>
    <row r="72" spans="1:13" ht="15" thickBot="1" x14ac:dyDescent="0.4">
      <c r="A72" s="68" t="s">
        <v>41</v>
      </c>
      <c r="B72" s="70"/>
      <c r="C72" s="70"/>
      <c r="D72" s="70"/>
      <c r="E72" s="70"/>
      <c r="F72" s="68">
        <f>F70/10</f>
        <v>4.4952848168710369E-2</v>
      </c>
      <c r="H72" s="68" t="s">
        <v>41</v>
      </c>
      <c r="I72" s="70"/>
      <c r="J72" s="70"/>
      <c r="K72" s="70"/>
      <c r="L72" s="70"/>
      <c r="M72" s="68">
        <f>M70/10</f>
        <v>0.10352832700773847</v>
      </c>
    </row>
    <row r="74" spans="1:13" x14ac:dyDescent="0.35">
      <c r="B74" t="s">
        <v>72</v>
      </c>
      <c r="I74" t="s">
        <v>73</v>
      </c>
    </row>
    <row r="75" spans="1:13" ht="15" thickBot="1" x14ac:dyDescent="0.4">
      <c r="A75" s="47" t="s">
        <v>1</v>
      </c>
      <c r="B75" s="47" t="s">
        <v>71</v>
      </c>
      <c r="C75" s="47" t="s">
        <v>57</v>
      </c>
      <c r="D75" s="47" t="s">
        <v>60</v>
      </c>
      <c r="E75" s="47" t="s">
        <v>61</v>
      </c>
      <c r="F75" s="47" t="s">
        <v>69</v>
      </c>
      <c r="H75" s="31" t="s">
        <v>1</v>
      </c>
      <c r="I75" s="31" t="s">
        <v>74</v>
      </c>
      <c r="J75" s="31" t="s">
        <v>57</v>
      </c>
      <c r="K75" s="31" t="s">
        <v>60</v>
      </c>
      <c r="L75" s="31" t="s">
        <v>61</v>
      </c>
      <c r="M75" s="31" t="s">
        <v>69</v>
      </c>
    </row>
    <row r="76" spans="1:13" x14ac:dyDescent="0.35">
      <c r="A76" s="1">
        <v>2013</v>
      </c>
      <c r="B76" s="1">
        <f>I59</f>
        <v>0.12883783783783784</v>
      </c>
      <c r="C76" s="1">
        <f>C59</f>
        <v>6.7574316049382716E-2</v>
      </c>
      <c r="D76" s="1">
        <f>K59</f>
        <v>-8.0537080610928208E-2</v>
      </c>
      <c r="E76" s="1">
        <f>E59</f>
        <v>-0.16754481945878166</v>
      </c>
      <c r="F76" s="1">
        <f>D76*E76</f>
        <v>1.3493570630695312E-2</v>
      </c>
      <c r="H76" s="43">
        <v>2013</v>
      </c>
      <c r="I76" s="43">
        <f>'TOTAL TINGKAT RETURN'!E6</f>
        <v>6.7574316049382716E-2</v>
      </c>
      <c r="J76" s="43">
        <f>I76</f>
        <v>6.7574316049382716E-2</v>
      </c>
      <c r="K76" s="43">
        <f>E76</f>
        <v>-0.16754481945878166</v>
      </c>
      <c r="L76" s="43">
        <f>K76</f>
        <v>-0.16754481945878166</v>
      </c>
      <c r="M76" s="43">
        <f>K76*L76</f>
        <v>2.8071266527475741E-2</v>
      </c>
    </row>
    <row r="77" spans="1:13" x14ac:dyDescent="0.35">
      <c r="A77" s="1">
        <v>2014</v>
      </c>
      <c r="B77" s="1">
        <f t="shared" ref="B77:B86" si="31">I60</f>
        <v>0.6180810126582279</v>
      </c>
      <c r="C77" s="1">
        <f t="shared" ref="C77:C86" si="32">C60</f>
        <v>0.49187171974522298</v>
      </c>
      <c r="D77" s="1">
        <f t="shared" ref="D77:D86" si="33">K60</f>
        <v>0.40870609420946186</v>
      </c>
      <c r="E77" s="1">
        <f t="shared" ref="E77:E86" si="34">E60</f>
        <v>0.2567525842370586</v>
      </c>
      <c r="F77" s="1">
        <f t="shared" ref="F77:F86" si="35">D77*E77</f>
        <v>0.10493634588171406</v>
      </c>
      <c r="H77" s="1">
        <v>2014</v>
      </c>
      <c r="I77" s="43">
        <f>'TOTAL TINGKAT RETURN'!E7</f>
        <v>0.49187171974522298</v>
      </c>
      <c r="J77" s="43">
        <f t="shared" ref="J77:J86" si="36">I77</f>
        <v>0.49187171974522298</v>
      </c>
      <c r="K77" s="43">
        <f t="shared" ref="K77:K86" si="37">E77</f>
        <v>0.2567525842370586</v>
      </c>
      <c r="L77" s="43">
        <f t="shared" ref="L77:L86" si="38">K77</f>
        <v>0.2567525842370586</v>
      </c>
      <c r="M77" s="43">
        <f t="shared" ref="M77:M86" si="39">K77*L77</f>
        <v>6.5921889512407877E-2</v>
      </c>
    </row>
    <row r="78" spans="1:13" x14ac:dyDescent="0.35">
      <c r="A78" s="1">
        <v>2015</v>
      </c>
      <c r="B78" s="1">
        <f t="shared" si="31"/>
        <v>1.2967098360655743E-2</v>
      </c>
      <c r="C78" s="1">
        <f t="shared" si="32"/>
        <v>-6.2491723433874706E-2</v>
      </c>
      <c r="D78" s="1">
        <f t="shared" si="33"/>
        <v>-0.19640782008811031</v>
      </c>
      <c r="E78" s="1">
        <f t="shared" si="34"/>
        <v>-0.29761085894203909</v>
      </c>
      <c r="F78" s="1">
        <f t="shared" si="35"/>
        <v>5.8453100039355992E-2</v>
      </c>
      <c r="H78" s="1">
        <v>2015</v>
      </c>
      <c r="I78" s="43">
        <f>'TOTAL TINGKAT RETURN'!E8</f>
        <v>-6.2491723433874706E-2</v>
      </c>
      <c r="J78" s="43">
        <f t="shared" si="36"/>
        <v>-6.2491723433874706E-2</v>
      </c>
      <c r="K78" s="43">
        <f t="shared" si="37"/>
        <v>-0.29761085894203909</v>
      </c>
      <c r="L78" s="43">
        <f t="shared" si="38"/>
        <v>-0.29761085894203909</v>
      </c>
      <c r="M78" s="43">
        <f t="shared" si="39"/>
        <v>8.8572223360218291E-2</v>
      </c>
    </row>
    <row r="79" spans="1:13" x14ac:dyDescent="0.35">
      <c r="A79" s="1">
        <v>2016</v>
      </c>
      <c r="B79" s="1">
        <f t="shared" si="31"/>
        <v>-2.0362030560271645E-2</v>
      </c>
      <c r="C79" s="1">
        <f t="shared" si="32"/>
        <v>0.36441062918918915</v>
      </c>
      <c r="D79" s="1">
        <f t="shared" si="33"/>
        <v>-0.22973694900903768</v>
      </c>
      <c r="E79" s="1">
        <f t="shared" si="34"/>
        <v>0.12929149368102477</v>
      </c>
      <c r="F79" s="1">
        <f t="shared" si="35"/>
        <v>-2.9703033291099905E-2</v>
      </c>
      <c r="H79" s="1">
        <v>2016</v>
      </c>
      <c r="I79" s="43">
        <f>'TOTAL TINGKAT RETURN'!E9</f>
        <v>0.36441062918918915</v>
      </c>
      <c r="J79" s="43">
        <f t="shared" si="36"/>
        <v>0.36441062918918915</v>
      </c>
      <c r="K79" s="43">
        <f t="shared" si="37"/>
        <v>0.12929149368102477</v>
      </c>
      <c r="L79" s="43">
        <f t="shared" si="38"/>
        <v>0.12929149368102477</v>
      </c>
      <c r="M79" s="43">
        <f t="shared" si="39"/>
        <v>1.6716290338270469E-2</v>
      </c>
    </row>
    <row r="80" spans="1:13" x14ac:dyDescent="0.35">
      <c r="A80" s="1">
        <v>2017</v>
      </c>
      <c r="B80" s="1">
        <f t="shared" si="31"/>
        <v>0.86888935746606333</v>
      </c>
      <c r="C80" s="1">
        <f t="shared" si="32"/>
        <v>0.47430478444924407</v>
      </c>
      <c r="D80" s="1">
        <f t="shared" si="33"/>
        <v>0.65951443901729734</v>
      </c>
      <c r="E80" s="1">
        <f t="shared" si="34"/>
        <v>0.23918564894107969</v>
      </c>
      <c r="F80" s="1">
        <f t="shared" si="35"/>
        <v>0.15774638908236438</v>
      </c>
      <c r="H80" s="1">
        <v>2017</v>
      </c>
      <c r="I80" s="43">
        <f>'TOTAL TINGKAT RETURN'!E10</f>
        <v>0.47430478444924407</v>
      </c>
      <c r="J80" s="43">
        <f t="shared" si="36"/>
        <v>0.47430478444924407</v>
      </c>
      <c r="K80" s="43">
        <f t="shared" si="37"/>
        <v>0.23918564894107969</v>
      </c>
      <c r="L80" s="43">
        <f t="shared" si="38"/>
        <v>0.23918564894107969</v>
      </c>
      <c r="M80" s="43">
        <f t="shared" si="39"/>
        <v>5.7209774659365414E-2</v>
      </c>
    </row>
    <row r="81" spans="1:13" x14ac:dyDescent="0.35">
      <c r="A81" s="1">
        <v>2018</v>
      </c>
      <c r="B81" s="1">
        <f t="shared" si="31"/>
        <v>-5.9483741414141415E-2</v>
      </c>
      <c r="C81" s="1">
        <f t="shared" si="32"/>
        <v>-2.8368622499999999E-2</v>
      </c>
      <c r="D81" s="1">
        <f t="shared" si="33"/>
        <v>-0.26885865986290747</v>
      </c>
      <c r="E81" s="1">
        <f t="shared" si="34"/>
        <v>-0.26348775800816437</v>
      </c>
      <c r="F81" s="1">
        <f t="shared" si="35"/>
        <v>7.084096550835714E-2</v>
      </c>
      <c r="H81" s="1">
        <v>2018</v>
      </c>
      <c r="I81" s="43">
        <f>'TOTAL TINGKAT RETURN'!E11</f>
        <v>-2.8368622499999999E-2</v>
      </c>
      <c r="J81" s="43">
        <f t="shared" si="36"/>
        <v>-2.8368622499999999E-2</v>
      </c>
      <c r="K81" s="43">
        <f t="shared" si="37"/>
        <v>-0.26348775800816437</v>
      </c>
      <c r="L81" s="43">
        <f t="shared" si="38"/>
        <v>-0.26348775800816437</v>
      </c>
      <c r="M81" s="43">
        <f t="shared" si="39"/>
        <v>6.9425798620168983E-2</v>
      </c>
    </row>
    <row r="82" spans="1:13" x14ac:dyDescent="0.35">
      <c r="A82" s="1">
        <v>2019</v>
      </c>
      <c r="B82" s="1">
        <f t="shared" si="31"/>
        <v>-6.2206920454545463E-2</v>
      </c>
      <c r="C82" s="1">
        <f t="shared" si="32"/>
        <v>0.10609254779661018</v>
      </c>
      <c r="D82" s="1">
        <f t="shared" si="33"/>
        <v>-0.2715818389033115</v>
      </c>
      <c r="E82" s="1">
        <f t="shared" si="34"/>
        <v>-0.1290265877115542</v>
      </c>
      <c r="F82" s="1">
        <f t="shared" si="35"/>
        <v>3.5041277958123306E-2</v>
      </c>
      <c r="H82" s="1">
        <v>2019</v>
      </c>
      <c r="I82" s="43">
        <f>'TOTAL TINGKAT RETURN'!E12</f>
        <v>0.10609254779661018</v>
      </c>
      <c r="J82" s="43">
        <f t="shared" si="36"/>
        <v>0.10609254779661018</v>
      </c>
      <c r="K82" s="43">
        <f t="shared" si="37"/>
        <v>-0.1290265877115542</v>
      </c>
      <c r="L82" s="43">
        <f t="shared" si="38"/>
        <v>-0.1290265877115542</v>
      </c>
      <c r="M82" s="43">
        <f t="shared" si="39"/>
        <v>1.664786033648739E-2</v>
      </c>
    </row>
    <row r="83" spans="1:13" x14ac:dyDescent="0.35">
      <c r="A83" s="1">
        <v>2020</v>
      </c>
      <c r="B83" s="1">
        <f t="shared" si="31"/>
        <v>-0.16083030063694267</v>
      </c>
      <c r="C83" s="1">
        <f t="shared" si="32"/>
        <v>-8.3819749837133556E-2</v>
      </c>
      <c r="D83" s="1">
        <f t="shared" si="33"/>
        <v>-0.37020521908570869</v>
      </c>
      <c r="E83" s="1">
        <f t="shared" si="34"/>
        <v>-0.31893888534529791</v>
      </c>
      <c r="F83" s="1">
        <f t="shared" si="35"/>
        <v>0.11807283992420774</v>
      </c>
      <c r="H83" s="1">
        <v>2020</v>
      </c>
      <c r="I83" s="43">
        <f>'TOTAL TINGKAT RETURN'!E13</f>
        <v>-8.3819749837133556E-2</v>
      </c>
      <c r="J83" s="43">
        <f t="shared" si="36"/>
        <v>-8.3819749837133556E-2</v>
      </c>
      <c r="K83" s="43">
        <f t="shared" si="37"/>
        <v>-0.31893888534529791</v>
      </c>
      <c r="L83" s="43">
        <f t="shared" si="38"/>
        <v>-0.31893888534529791</v>
      </c>
      <c r="M83" s="43">
        <f t="shared" si="39"/>
        <v>0.10172201258530109</v>
      </c>
    </row>
    <row r="84" spans="1:13" x14ac:dyDescent="0.35">
      <c r="A84" s="1">
        <v>2021</v>
      </c>
      <c r="B84" s="1">
        <f t="shared" si="31"/>
        <v>0.10737574834008097</v>
      </c>
      <c r="C84" s="1">
        <f t="shared" si="32"/>
        <v>0.1803230861660079</v>
      </c>
      <c r="D84" s="1">
        <f t="shared" si="33"/>
        <v>-0.10199917010868507</v>
      </c>
      <c r="E84" s="1">
        <f t="shared" si="34"/>
        <v>-5.4796049342156483E-2</v>
      </c>
      <c r="F84" s="1">
        <f t="shared" si="35"/>
        <v>5.58915155813452E-3</v>
      </c>
      <c r="H84" s="1">
        <v>2021</v>
      </c>
      <c r="I84" s="43">
        <f>'TOTAL TINGKAT RETURN'!E14</f>
        <v>0.1803230861660079</v>
      </c>
      <c r="J84" s="43">
        <f t="shared" si="36"/>
        <v>0.1803230861660079</v>
      </c>
      <c r="K84" s="43">
        <f t="shared" si="37"/>
        <v>-5.4796049342156483E-2</v>
      </c>
      <c r="L84" s="43">
        <f t="shared" si="38"/>
        <v>-5.4796049342156483E-2</v>
      </c>
      <c r="M84" s="43">
        <f t="shared" si="39"/>
        <v>3.002607023508048E-3</v>
      </c>
    </row>
    <row r="85" spans="1:13" x14ac:dyDescent="0.35">
      <c r="A85" s="1">
        <v>2022</v>
      </c>
      <c r="B85" s="1">
        <f t="shared" si="31"/>
        <v>0.41001389037037034</v>
      </c>
      <c r="C85" s="1">
        <f t="shared" si="32"/>
        <v>0.51548343345195724</v>
      </c>
      <c r="D85" s="1">
        <f t="shared" si="33"/>
        <v>0.20063897192160429</v>
      </c>
      <c r="E85" s="1">
        <f t="shared" si="34"/>
        <v>0.28036429794379286</v>
      </c>
      <c r="F85" s="1">
        <f t="shared" si="35"/>
        <v>5.6252004502964956E-2</v>
      </c>
      <c r="H85" s="1">
        <v>2022</v>
      </c>
      <c r="I85" s="43">
        <f>'TOTAL TINGKAT RETURN'!E15</f>
        <v>0.51548343345195724</v>
      </c>
      <c r="J85" s="43">
        <f t="shared" si="36"/>
        <v>0.51548343345195724</v>
      </c>
      <c r="K85" s="43">
        <f t="shared" si="37"/>
        <v>0.28036429794379286</v>
      </c>
      <c r="L85" s="43">
        <f t="shared" si="38"/>
        <v>0.28036429794379286</v>
      </c>
      <c r="M85" s="43">
        <f t="shared" si="39"/>
        <v>7.8604139561515851E-2</v>
      </c>
    </row>
    <row r="86" spans="1:13" ht="15" thickBot="1" x14ac:dyDescent="0.4">
      <c r="A86" s="44">
        <v>2023</v>
      </c>
      <c r="B86" s="1">
        <f t="shared" si="31"/>
        <v>0.25046723252032521</v>
      </c>
      <c r="C86" s="1">
        <f t="shared" si="32"/>
        <v>0.3258109340050378</v>
      </c>
      <c r="D86" s="1">
        <f t="shared" si="33"/>
        <v>4.1092314071559166E-2</v>
      </c>
      <c r="E86" s="1">
        <f t="shared" si="34"/>
        <v>9.0691798496873421E-2</v>
      </c>
      <c r="F86" s="1">
        <f t="shared" si="35"/>
        <v>3.7267358675480799E-3</v>
      </c>
      <c r="H86" s="44">
        <v>2023</v>
      </c>
      <c r="I86" s="43">
        <f>'TOTAL TINGKAT RETURN'!E16</f>
        <v>0.3258109340050378</v>
      </c>
      <c r="J86" s="43">
        <f t="shared" si="36"/>
        <v>0.3258109340050378</v>
      </c>
      <c r="K86" s="43">
        <f t="shared" si="37"/>
        <v>9.0691798496873421E-2</v>
      </c>
      <c r="L86" s="43">
        <f t="shared" si="38"/>
        <v>9.0691798496873421E-2</v>
      </c>
      <c r="M86" s="43">
        <f t="shared" si="39"/>
        <v>8.2250023145974925E-3</v>
      </c>
    </row>
    <row r="87" spans="1:13" ht="15" thickBot="1" x14ac:dyDescent="0.4">
      <c r="A87" s="71" t="s">
        <v>20</v>
      </c>
      <c r="B87" s="70">
        <f>SUM(B76:B86)</f>
        <v>2.0937491844876606</v>
      </c>
      <c r="C87" s="70">
        <f>SUM(C74:C86)</f>
        <v>2.3511913550816437</v>
      </c>
      <c r="D87" s="70"/>
      <c r="E87" s="75"/>
      <c r="F87" s="73">
        <f>SUM(F76:F86)</f>
        <v>0.59444934766236557</v>
      </c>
      <c r="H87" s="71" t="s">
        <v>20</v>
      </c>
      <c r="I87" s="70">
        <f>C87</f>
        <v>2.3511913550816437</v>
      </c>
      <c r="J87" s="70">
        <f t="shared" ref="J87:J88" si="40">I87</f>
        <v>2.3511913550816437</v>
      </c>
      <c r="K87" s="70"/>
      <c r="L87" s="70"/>
      <c r="M87" s="79">
        <f>SUM(M76:M86)</f>
        <v>0.53411886483931659</v>
      </c>
    </row>
    <row r="88" spans="1:13" ht="15" thickBot="1" x14ac:dyDescent="0.4">
      <c r="A88" s="71" t="s">
        <v>67</v>
      </c>
      <c r="B88" s="68">
        <f>B87/10</f>
        <v>0.20937491844876605</v>
      </c>
      <c r="C88" s="68">
        <f>C87/10</f>
        <v>0.23511913550816438</v>
      </c>
      <c r="D88" s="70"/>
      <c r="E88" s="75"/>
      <c r="F88" s="73"/>
      <c r="H88" s="71" t="s">
        <v>67</v>
      </c>
      <c r="I88" s="68">
        <f>I87/10</f>
        <v>0.23511913550816438</v>
      </c>
      <c r="J88" s="68">
        <f t="shared" si="40"/>
        <v>0.23511913550816438</v>
      </c>
      <c r="K88" s="70"/>
      <c r="L88" s="70"/>
      <c r="M88" s="73"/>
    </row>
    <row r="89" spans="1:13" ht="15" thickBot="1" x14ac:dyDescent="0.4">
      <c r="A89" s="71" t="s">
        <v>41</v>
      </c>
      <c r="B89" s="74"/>
      <c r="C89" s="74"/>
      <c r="D89" s="74"/>
      <c r="E89" s="76"/>
      <c r="F89" s="78">
        <f>F87/10</f>
        <v>5.9444934766236558E-2</v>
      </c>
      <c r="H89" s="77" t="s">
        <v>41</v>
      </c>
      <c r="I89" s="74"/>
      <c r="J89" s="74"/>
      <c r="K89" s="74"/>
      <c r="L89" s="74"/>
      <c r="M89" s="78">
        <f>M87/10</f>
        <v>5.3411886483931657E-2</v>
      </c>
    </row>
    <row r="90" spans="1:13" x14ac:dyDescent="0.35">
      <c r="E90" s="7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F10A-A16A-4EDA-8A4E-FA7A48367C23}">
  <dimension ref="C3:O13"/>
  <sheetViews>
    <sheetView tabSelected="1" topLeftCell="G1" workbookViewId="0">
      <selection activeCell="L13" sqref="L13"/>
    </sheetView>
  </sheetViews>
  <sheetFormatPr defaultRowHeight="14.5" x14ac:dyDescent="0.35"/>
  <cols>
    <col min="1" max="1" width="12.26953125" customWidth="1"/>
    <col min="2" max="2" width="16.90625" customWidth="1"/>
    <col min="5" max="5" width="11.6328125" customWidth="1"/>
    <col min="8" max="8" width="13.54296875" customWidth="1"/>
    <col min="9" max="9" width="8.453125" customWidth="1"/>
    <col min="10" max="10" width="7.81640625" customWidth="1"/>
    <col min="11" max="11" width="7.7265625" customWidth="1"/>
    <col min="13" max="13" width="9.90625" customWidth="1"/>
    <col min="14" max="14" width="7.90625" customWidth="1"/>
  </cols>
  <sheetData>
    <row r="3" spans="3:15" x14ac:dyDescent="0.35">
      <c r="C3" s="80"/>
      <c r="D3" s="80"/>
      <c r="H3" s="55" t="s">
        <v>31</v>
      </c>
      <c r="I3" s="81" t="s">
        <v>76</v>
      </c>
      <c r="J3" s="81" t="s">
        <v>75</v>
      </c>
      <c r="K3" s="81" t="s">
        <v>77</v>
      </c>
      <c r="L3" s="81" t="s">
        <v>78</v>
      </c>
      <c r="M3" s="55" t="s">
        <v>79</v>
      </c>
      <c r="N3" s="55" t="s">
        <v>80</v>
      </c>
      <c r="O3" s="55" t="s">
        <v>80</v>
      </c>
    </row>
    <row r="4" spans="3:15" x14ac:dyDescent="0.35">
      <c r="H4" s="55">
        <v>1</v>
      </c>
      <c r="I4" s="55">
        <f>'EXPECTED RETURN'!$B$6</f>
        <v>2.4950436567228444</v>
      </c>
      <c r="J4" s="55">
        <f>'EXPECTED RETURN'!B6</f>
        <v>2.4950436567228444</v>
      </c>
      <c r="K4" s="55">
        <f>I4^2</f>
        <v>6.2252428489529033</v>
      </c>
      <c r="L4" s="55">
        <f>J4^2</f>
        <v>6.2252428489529033</v>
      </c>
      <c r="M4" s="55">
        <f>I4*J4</f>
        <v>6.2252428489529033</v>
      </c>
      <c r="N4" s="55">
        <f>(10*M4-(J4)-I4)/SQRT((10*K4-(J4)^2)*(10*L4-(J4)^2))</f>
        <v>1.022045646615751</v>
      </c>
      <c r="O4" s="55">
        <v>1</v>
      </c>
    </row>
    <row r="5" spans="3:15" x14ac:dyDescent="0.35">
      <c r="H5" s="55">
        <v>2</v>
      </c>
      <c r="I5" s="55">
        <f>I4</f>
        <v>2.4950436567228444</v>
      </c>
      <c r="J5" s="55">
        <f>'EXPECTED RETURN'!B7</f>
        <v>2.7274960622416038</v>
      </c>
      <c r="K5" s="55">
        <f t="shared" ref="K5:K7" si="0">I5^2</f>
        <v>6.2252428489529033</v>
      </c>
      <c r="L5" s="55">
        <f t="shared" ref="L5:L13" si="1">J5^2</f>
        <v>7.4392347695434546</v>
      </c>
      <c r="M5" s="55">
        <f t="shared" ref="M5:M13" si="2">I5*J5</f>
        <v>6.8052217488324498</v>
      </c>
      <c r="N5" s="55">
        <f t="shared" ref="N5:N13" si="3">(10*M5-(J5)-I5)/SQRT((10*K5-(J5)^2)*(10*L5-(J5)^2))</f>
        <v>1.0371388239062467</v>
      </c>
      <c r="O5" s="55">
        <v>1</v>
      </c>
    </row>
    <row r="6" spans="3:15" x14ac:dyDescent="0.35">
      <c r="H6" s="55">
        <v>3</v>
      </c>
      <c r="I6" s="55">
        <f>I5</f>
        <v>2.4950436567228444</v>
      </c>
      <c r="J6" s="55">
        <f>'EXPECTED RETURN'!B8</f>
        <v>2.0937491844876606</v>
      </c>
      <c r="K6" s="55">
        <f t="shared" si="0"/>
        <v>6.2252428489529033</v>
      </c>
      <c r="L6" s="55">
        <f t="shared" si="1"/>
        <v>4.3837856475427435</v>
      </c>
      <c r="M6" s="55">
        <f t="shared" si="2"/>
        <v>5.2239956215245664</v>
      </c>
      <c r="N6" s="55">
        <f t="shared" si="3"/>
        <v>0.99725437343735501</v>
      </c>
      <c r="O6" s="55">
        <v>1</v>
      </c>
    </row>
    <row r="7" spans="3:15" x14ac:dyDescent="0.35">
      <c r="H7" s="55">
        <v>4</v>
      </c>
      <c r="I7" s="55">
        <f t="shared" ref="I6:I7" si="4">I6</f>
        <v>2.4950436567228444</v>
      </c>
      <c r="J7" s="55">
        <f>'EXPECTED RETURN'!B9</f>
        <v>2.3511913550816437</v>
      </c>
      <c r="K7" s="55">
        <f t="shared" si="0"/>
        <v>6.2252428489529033</v>
      </c>
      <c r="L7" s="55">
        <f t="shared" si="1"/>
        <v>5.5281007882106561</v>
      </c>
      <c r="M7" s="55">
        <f t="shared" si="2"/>
        <v>5.8663250762380441</v>
      </c>
      <c r="N7" s="55">
        <f t="shared" si="3"/>
        <v>1.0130379197957093</v>
      </c>
      <c r="O7" s="55">
        <v>1</v>
      </c>
    </row>
    <row r="8" spans="3:15" x14ac:dyDescent="0.35">
      <c r="H8" s="55">
        <v>5</v>
      </c>
      <c r="I8" s="55">
        <f>'EXPECTED RETURN'!$B$7</f>
        <v>2.7274960622416038</v>
      </c>
      <c r="J8" s="55">
        <f>I8</f>
        <v>2.7274960622416038</v>
      </c>
      <c r="K8" s="55">
        <f>I8^2</f>
        <v>7.4392347695434546</v>
      </c>
      <c r="L8" s="55">
        <f t="shared" si="1"/>
        <v>7.4392347695434546</v>
      </c>
      <c r="M8" s="55">
        <f t="shared" si="2"/>
        <v>7.4392347695434546</v>
      </c>
      <c r="N8" s="55">
        <f t="shared" si="3"/>
        <v>1.0296363015601169</v>
      </c>
      <c r="O8" s="55">
        <v>1</v>
      </c>
    </row>
    <row r="9" spans="3:15" x14ac:dyDescent="0.35">
      <c r="H9" s="55">
        <v>6</v>
      </c>
      <c r="I9" s="55">
        <f>I8</f>
        <v>2.7274960622416038</v>
      </c>
      <c r="J9" s="55">
        <f>'EXPECTED RETURN'!B8</f>
        <v>2.0937491844876606</v>
      </c>
      <c r="K9" s="55">
        <f t="shared" ref="K9:K10" si="5">I9^2</f>
        <v>7.4392347695434546</v>
      </c>
      <c r="L9" s="55">
        <f t="shared" si="1"/>
        <v>4.3837856475427435</v>
      </c>
      <c r="M9" s="55">
        <f t="shared" si="2"/>
        <v>5.7106926560116635</v>
      </c>
      <c r="N9" s="55">
        <f t="shared" si="3"/>
        <v>0.99485842656832357</v>
      </c>
      <c r="O9" s="55">
        <v>1</v>
      </c>
    </row>
    <row r="10" spans="3:15" x14ac:dyDescent="0.35">
      <c r="H10" s="55">
        <v>7</v>
      </c>
      <c r="I10" s="55">
        <f>I9</f>
        <v>2.7274960622416038</v>
      </c>
      <c r="J10" s="55">
        <f>'EXPECTED RETURN'!B9</f>
        <v>2.3511913550816437</v>
      </c>
      <c r="K10" s="55">
        <f t="shared" si="5"/>
        <v>7.4392347695434546</v>
      </c>
      <c r="L10" s="55">
        <f t="shared" si="1"/>
        <v>5.5281007882106561</v>
      </c>
      <c r="M10" s="55">
        <f t="shared" si="2"/>
        <v>6.4128651625616833</v>
      </c>
      <c r="N10" s="55">
        <f t="shared" si="3"/>
        <v>1.0088195886789226</v>
      </c>
      <c r="O10" s="55">
        <v>1</v>
      </c>
    </row>
    <row r="11" spans="3:15" x14ac:dyDescent="0.35">
      <c r="H11" s="55">
        <v>8</v>
      </c>
      <c r="I11" s="55">
        <f>'EXPECTED RETURN'!$B$8</f>
        <v>2.0937491844876606</v>
      </c>
      <c r="J11" s="55">
        <f>I11</f>
        <v>2.0937491844876606</v>
      </c>
      <c r="K11" s="55">
        <f>I11^2</f>
        <v>4.3837856475427435</v>
      </c>
      <c r="L11" s="55">
        <f t="shared" si="1"/>
        <v>4.3837856475427435</v>
      </c>
      <c r="M11" s="55">
        <f t="shared" si="2"/>
        <v>4.3837856475427435</v>
      </c>
      <c r="N11" s="55">
        <f t="shared" si="3"/>
        <v>1.0049750830382929</v>
      </c>
      <c r="O11" s="55">
        <v>1</v>
      </c>
    </row>
    <row r="12" spans="3:15" x14ac:dyDescent="0.35">
      <c r="H12" s="55">
        <v>9</v>
      </c>
      <c r="I12" s="55">
        <f>I11</f>
        <v>2.0937491844876606</v>
      </c>
      <c r="J12" s="55">
        <f>'EXPECTED RETURN'!B9</f>
        <v>2.3511913550816437</v>
      </c>
      <c r="K12" s="55">
        <f>I12^2</f>
        <v>4.3837856475427435</v>
      </c>
      <c r="L12" s="55">
        <f t="shared" si="1"/>
        <v>5.5281007882106561</v>
      </c>
      <c r="M12" s="55">
        <f t="shared" si="2"/>
        <v>4.9228049822766291</v>
      </c>
      <c r="N12" s="55">
        <f t="shared" si="3"/>
        <v>1.0257707740797768</v>
      </c>
      <c r="O12" s="55">
        <v>1</v>
      </c>
    </row>
    <row r="13" spans="3:15" x14ac:dyDescent="0.35">
      <c r="H13" s="55">
        <v>10</v>
      </c>
      <c r="I13" s="55">
        <f>'EXPECTED RETURN'!$B$9</f>
        <v>2.3511913550816437</v>
      </c>
      <c r="J13" s="55">
        <f>I13</f>
        <v>2.3511913550816437</v>
      </c>
      <c r="K13" s="55">
        <f>I13^2</f>
        <v>5.5281007882106561</v>
      </c>
      <c r="L13" s="55">
        <f t="shared" si="1"/>
        <v>5.5281007882106561</v>
      </c>
      <c r="M13" s="55">
        <f t="shared" si="2"/>
        <v>5.5281007882106561</v>
      </c>
      <c r="N13" s="55">
        <f t="shared" si="3"/>
        <v>1.0165963785088785</v>
      </c>
      <c r="O13" s="5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6E08-F24F-4F2D-93C9-AD7B1BCD1942}">
  <dimension ref="A2:F13"/>
  <sheetViews>
    <sheetView workbookViewId="0">
      <selection activeCell="E13" sqref="E13"/>
    </sheetView>
  </sheetViews>
  <sheetFormatPr defaultRowHeight="14.5" x14ac:dyDescent="0.35"/>
  <cols>
    <col min="1" max="1" width="12.54296875" customWidth="1"/>
    <col min="2" max="2" width="18.36328125" customWidth="1"/>
    <col min="3" max="3" width="14" customWidth="1"/>
    <col min="4" max="5" width="11.26953125" customWidth="1"/>
    <col min="6" max="6" width="8.6328125" customWidth="1"/>
  </cols>
  <sheetData>
    <row r="2" spans="1:6" x14ac:dyDescent="0.35">
      <c r="A2" t="s">
        <v>31</v>
      </c>
      <c r="B2" s="80" t="s">
        <v>84</v>
      </c>
      <c r="C2" t="s">
        <v>81</v>
      </c>
      <c r="D2" t="s">
        <v>31</v>
      </c>
      <c r="E2" s="80" t="s">
        <v>84</v>
      </c>
      <c r="F2" t="s">
        <v>82</v>
      </c>
    </row>
    <row r="3" spans="1:6" x14ac:dyDescent="0.35">
      <c r="A3" t="s">
        <v>3</v>
      </c>
      <c r="B3" t="e">
        <f>'DEVIASI STANDAR'!#REF!</f>
        <v>#REF!</v>
      </c>
      <c r="C3">
        <f>'EXPECTED RETURN'!D6</f>
        <v>0.24950436567228446</v>
      </c>
      <c r="D3">
        <v>1</v>
      </c>
      <c r="E3">
        <f>SQRT(1.02205)</f>
        <v>1.0109648856414351</v>
      </c>
      <c r="F3">
        <f>C3</f>
        <v>0.24950436567228446</v>
      </c>
    </row>
    <row r="4" spans="1:6" x14ac:dyDescent="0.35">
      <c r="A4" t="s">
        <v>4</v>
      </c>
      <c r="B4" t="e">
        <f>'DEVIASI STANDAR'!#REF!</f>
        <v>#REF!</v>
      </c>
      <c r="C4">
        <f>'EXPECTED RETURN'!D7</f>
        <v>0.27274960622416039</v>
      </c>
      <c r="D4">
        <v>2</v>
      </c>
      <c r="E4">
        <f>SQRT(1.03714)</f>
        <v>1.0184007069911136</v>
      </c>
      <c r="F4">
        <f>C3</f>
        <v>0.24950436567228446</v>
      </c>
    </row>
    <row r="5" spans="1:6" x14ac:dyDescent="0.35">
      <c r="A5" t="s">
        <v>5</v>
      </c>
      <c r="B5" t="e">
        <f>'DEVIASI STANDAR'!#REF!</f>
        <v>#REF!</v>
      </c>
      <c r="C5">
        <f>'EXPECTED RETURN'!D8</f>
        <v>0.20937491844876605</v>
      </c>
      <c r="D5">
        <v>3</v>
      </c>
      <c r="E5">
        <f>SQRT(0.99725)</f>
        <v>0.9986240533854569</v>
      </c>
      <c r="F5">
        <f>C3</f>
        <v>0.24950436567228446</v>
      </c>
    </row>
    <row r="6" spans="1:6" x14ac:dyDescent="0.35">
      <c r="A6" t="s">
        <v>6</v>
      </c>
      <c r="B6" t="e">
        <f>'DEVIASI STANDAR'!#REF!</f>
        <v>#REF!</v>
      </c>
      <c r="C6">
        <f>'EXPECTED RETURN'!D9</f>
        <v>0.23511913550816438</v>
      </c>
      <c r="D6">
        <v>4</v>
      </c>
      <c r="E6">
        <f>SQRT(1.01304)</f>
        <v>1.006498882264655</v>
      </c>
      <c r="F6">
        <f>C3</f>
        <v>0.24950436567228446</v>
      </c>
    </row>
    <row r="7" spans="1:6" x14ac:dyDescent="0.35">
      <c r="A7" s="28" t="s">
        <v>83</v>
      </c>
      <c r="B7" s="28" t="e">
        <f>MAX(B3:B6)</f>
        <v>#REF!</v>
      </c>
      <c r="C7" s="28">
        <f>MAX(C3:C6)</f>
        <v>0.27274960622416039</v>
      </c>
      <c r="D7">
        <v>5</v>
      </c>
      <c r="E7">
        <f>SQRT(1.02964)</f>
        <v>1.0147117817390316</v>
      </c>
      <c r="F7">
        <f>C4</f>
        <v>0.27274960622416039</v>
      </c>
    </row>
    <row r="8" spans="1:6" x14ac:dyDescent="0.35">
      <c r="D8">
        <v>6</v>
      </c>
      <c r="E8">
        <f>SQRT(0.99486)</f>
        <v>0.9974266890353396</v>
      </c>
      <c r="F8">
        <f>C4</f>
        <v>0.27274960622416039</v>
      </c>
    </row>
    <row r="9" spans="1:6" x14ac:dyDescent="0.35">
      <c r="D9">
        <v>7</v>
      </c>
      <c r="E9">
        <f>SQRT(1.00882)</f>
        <v>1.0044003185981176</v>
      </c>
      <c r="F9">
        <f>C4</f>
        <v>0.27274960622416039</v>
      </c>
    </row>
    <row r="10" spans="1:6" x14ac:dyDescent="0.35">
      <c r="D10">
        <v>8</v>
      </c>
      <c r="E10">
        <f>SQRT(1.00498)</f>
        <v>1.0024869076451821</v>
      </c>
      <c r="F10">
        <f>C5</f>
        <v>0.20937491844876605</v>
      </c>
    </row>
    <row r="11" spans="1:6" x14ac:dyDescent="0.35">
      <c r="D11">
        <v>9</v>
      </c>
      <c r="E11">
        <f>SQRT(1.02577)</f>
        <v>1.012803041069684</v>
      </c>
      <c r="F11">
        <f>C5</f>
        <v>0.20937491844876605</v>
      </c>
    </row>
    <row r="12" spans="1:6" x14ac:dyDescent="0.35">
      <c r="D12">
        <v>10</v>
      </c>
      <c r="E12">
        <f>SQRT(1.0166)</f>
        <v>1.008265837961398</v>
      </c>
      <c r="F12">
        <f>C6</f>
        <v>0.23511913550816438</v>
      </c>
    </row>
    <row r="13" spans="1:6" x14ac:dyDescent="0.35">
      <c r="D13" t="s">
        <v>85</v>
      </c>
      <c r="E13">
        <f>MIN(E3:E12)</f>
        <v>0.9974266890353396</v>
      </c>
      <c r="F13">
        <f>MIN(F3:F12)</f>
        <v>0.20937491844876605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2611-2BC8-488A-BCD3-15FED7323F25}">
  <dimension ref="A3:E8"/>
  <sheetViews>
    <sheetView workbookViewId="0">
      <selection activeCell="E5" sqref="E5"/>
    </sheetView>
  </sheetViews>
  <sheetFormatPr defaultRowHeight="14.5" x14ac:dyDescent="0.35"/>
  <cols>
    <col min="1" max="1" width="12.453125" customWidth="1"/>
    <col min="2" max="2" width="8.08984375" customWidth="1"/>
    <col min="3" max="3" width="8.54296875" customWidth="1"/>
    <col min="5" max="5" width="14.36328125" customWidth="1"/>
  </cols>
  <sheetData>
    <row r="3" spans="1:5" x14ac:dyDescent="0.35">
      <c r="A3" s="111" t="s">
        <v>19</v>
      </c>
      <c r="B3" s="111" t="s">
        <v>25</v>
      </c>
      <c r="C3" s="111" t="s">
        <v>29</v>
      </c>
      <c r="D3" s="112" t="s">
        <v>87</v>
      </c>
      <c r="E3" s="112" t="s">
        <v>86</v>
      </c>
    </row>
    <row r="4" spans="1:5" x14ac:dyDescent="0.35">
      <c r="A4" s="111"/>
      <c r="B4" s="111"/>
      <c r="C4" s="111"/>
      <c r="D4" s="112"/>
      <c r="E4" s="112"/>
    </row>
    <row r="5" spans="1:5" x14ac:dyDescent="0.35">
      <c r="A5" t="s">
        <v>3</v>
      </c>
      <c r="B5">
        <f>'EXPECTED RETURN'!D6</f>
        <v>0.24950436567228446</v>
      </c>
      <c r="C5">
        <f>'DEVIASI STANDAR'!O6</f>
        <v>0.1420638172114925</v>
      </c>
      <c r="D5">
        <f>B5/C5</f>
        <v>1.7562836939742625</v>
      </c>
    </row>
    <row r="6" spans="1:5" x14ac:dyDescent="0.35">
      <c r="A6" t="s">
        <v>4</v>
      </c>
      <c r="B6">
        <f>'EXPECTED RETURN'!D7</f>
        <v>0.27274960622416039</v>
      </c>
      <c r="C6">
        <f>'DEVIASI STANDAR'!O7</f>
        <v>0.27216833953291458</v>
      </c>
      <c r="D6">
        <f t="shared" ref="D6:D8" si="0">B6/C6</f>
        <v>1.0021356881268533</v>
      </c>
    </row>
    <row r="7" spans="1:5" x14ac:dyDescent="0.35">
      <c r="A7" t="s">
        <v>5</v>
      </c>
      <c r="B7">
        <f>'EXPECTED RETURN'!D8</f>
        <v>0.20937491844876605</v>
      </c>
      <c r="C7">
        <f>'DEVIASI STANDAR'!O8</f>
        <v>0.3217581809492005</v>
      </c>
      <c r="D7">
        <f t="shared" si="0"/>
        <v>0.65072135176517043</v>
      </c>
    </row>
    <row r="8" spans="1:5" x14ac:dyDescent="0.35">
      <c r="A8" t="s">
        <v>6</v>
      </c>
      <c r="B8">
        <f>'EXPECTED RETURN'!D9</f>
        <v>0.23511913550816438</v>
      </c>
      <c r="C8">
        <f>'DEVIASI STANDAR'!O9</f>
        <v>0.23111011765808018</v>
      </c>
      <c r="D8">
        <f t="shared" si="0"/>
        <v>1.0173467864181325</v>
      </c>
    </row>
  </sheetData>
  <mergeCells count="5"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C1D5-DFC0-426F-A00B-CCC51571ACE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61BD-8DD6-4137-9390-F4936222024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1DC8-0530-403E-B2B9-4E38F5C17066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harga saham</vt:lpstr>
      <vt:lpstr>TINGKAT RETURN</vt:lpstr>
      <vt:lpstr>TOTAL TINGKAT RETURN</vt:lpstr>
      <vt:lpstr>EXPECTED RETURN</vt:lpstr>
      <vt:lpstr>DEVIASI STANDAR</vt:lpstr>
      <vt:lpstr>KOMBINASI</vt:lpstr>
      <vt:lpstr>KOVARIAN ANTAR SAHAM</vt:lpstr>
      <vt:lpstr>KOEFISIEN ANTAR SAHAM</vt:lpstr>
      <vt:lpstr>MAX &amp; MVP</vt:lpstr>
      <vt:lpstr>PROPORSI DANA</vt:lpstr>
      <vt:lpstr>RISIKO PORTOFOLIO  SAHAM </vt:lpstr>
      <vt:lpstr>TINGKAT KEUNTUNGA DAN RESIKO</vt:lpstr>
      <vt:lpstr>PORTOFOLIO EFISIEN &amp; 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amelia</dc:creator>
  <cp:lastModifiedBy>Juli Yandi Rahman</cp:lastModifiedBy>
  <dcterms:created xsi:type="dcterms:W3CDTF">2023-12-25T01:08:00Z</dcterms:created>
  <dcterms:modified xsi:type="dcterms:W3CDTF">2024-06-24T12:05:23Z</dcterms:modified>
</cp:coreProperties>
</file>