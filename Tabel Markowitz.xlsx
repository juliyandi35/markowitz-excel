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Markowitz Excel\"/>
    </mc:Choice>
  </mc:AlternateContent>
  <xr:revisionPtr revIDLastSave="0" documentId="13_ncr:1_{D7DA64EF-DABA-4A0A-8AD5-0B184418FF3C}" xr6:coauthVersionLast="47" xr6:coauthVersionMax="47" xr10:uidLastSave="{00000000-0000-0000-0000-000000000000}"/>
  <bookViews>
    <workbookView xWindow="-110" yWindow="-110" windowWidth="19420" windowHeight="10300" xr2:uid="{1D3E037A-86B8-44F0-B788-9BF2A46A0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Q3" i="1"/>
  <c r="N3" i="1"/>
  <c r="M11" i="1"/>
  <c r="M9" i="1"/>
  <c r="M8" i="1"/>
  <c r="O8" i="1" s="1"/>
  <c r="M6" i="1"/>
  <c r="O6" i="1" s="1"/>
  <c r="M5" i="1"/>
  <c r="M4" i="1"/>
  <c r="M3" i="1"/>
  <c r="O3" i="1" s="1"/>
  <c r="L12" i="1"/>
  <c r="L10" i="1"/>
  <c r="L11" i="1" s="1"/>
  <c r="L7" i="1"/>
  <c r="L3" i="1"/>
  <c r="O11" i="1"/>
  <c r="P10" i="1"/>
  <c r="O10" i="1"/>
  <c r="N10" i="1"/>
  <c r="M10" i="1"/>
  <c r="O9" i="1"/>
  <c r="L8" i="1"/>
  <c r="P8" i="1" s="1"/>
  <c r="P7" i="1"/>
  <c r="N7" i="1"/>
  <c r="M7" i="1"/>
  <c r="O7" i="1" s="1"/>
  <c r="O5" i="1"/>
  <c r="O4" i="1"/>
  <c r="E41" i="1"/>
  <c r="Q10" i="1" l="1"/>
  <c r="L9" i="1"/>
  <c r="P9" i="1" s="1"/>
  <c r="L4" i="1"/>
  <c r="P3" i="1"/>
  <c r="P11" i="1"/>
  <c r="N11" i="1"/>
  <c r="Q7" i="1"/>
  <c r="P12" i="1"/>
  <c r="M12" i="1"/>
  <c r="O12" i="1" s="1"/>
  <c r="N9" i="1"/>
  <c r="Q9" i="1" s="1"/>
  <c r="N4" i="1"/>
  <c r="N8" i="1"/>
  <c r="Q8" i="1" s="1"/>
  <c r="N12" i="1"/>
  <c r="P4" i="1" l="1"/>
  <c r="Q4" i="1" s="1"/>
  <c r="L5" i="1"/>
  <c r="Q12" i="1"/>
  <c r="Q11" i="1"/>
  <c r="L6" i="1" l="1"/>
  <c r="N5" i="1"/>
  <c r="P5" i="1"/>
  <c r="Q5" i="1" s="1"/>
  <c r="P6" i="1" l="1"/>
  <c r="Q6" i="1" s="1"/>
  <c r="N6" i="1"/>
  <c r="F16" i="1" l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F5" i="1"/>
  <c r="F6" i="1"/>
  <c r="F7" i="1"/>
  <c r="F8" i="1"/>
  <c r="F9" i="1"/>
  <c r="F10" i="1"/>
  <c r="F11" i="1"/>
  <c r="F12" i="1"/>
  <c r="F13" i="1"/>
  <c r="F14" i="1"/>
  <c r="F4" i="1"/>
  <c r="D23" i="1" l="1"/>
  <c r="E22" i="1" s="1"/>
  <c r="D22" i="1"/>
  <c r="F15" i="1"/>
  <c r="G27" i="1" s="1"/>
  <c r="E23" i="1"/>
  <c r="I15" i="1"/>
  <c r="G30" i="1" s="1"/>
  <c r="H15" i="1"/>
  <c r="G29" i="1" s="1"/>
  <c r="B20" i="1"/>
  <c r="C21" i="1"/>
  <c r="B21" i="1"/>
  <c r="C20" i="1" s="1"/>
  <c r="B22" i="1"/>
  <c r="D20" i="1" s="1"/>
  <c r="B23" i="1"/>
  <c r="E20" i="1" s="1"/>
  <c r="G15" i="1"/>
  <c r="G28" i="1" s="1"/>
  <c r="C22" i="1"/>
  <c r="D21" i="1" s="1"/>
  <c r="C23" i="1"/>
  <c r="E21" i="1" s="1"/>
  <c r="B27" i="1" l="1" a="1"/>
  <c r="B27" i="1" s="1"/>
  <c r="B33" i="1" s="1" a="1"/>
  <c r="C33" i="1" l="1" a="1"/>
  <c r="C33" i="1" s="1"/>
  <c r="B33" i="1"/>
  <c r="D33" i="1" s="1"/>
  <c r="B38" i="1" s="1"/>
  <c r="D35" i="1" l="1"/>
  <c r="D38" i="1" s="1"/>
  <c r="B39" i="1"/>
  <c r="B46" i="1" s="1"/>
  <c r="E34" i="1"/>
  <c r="C39" i="1" s="1"/>
  <c r="E36" i="1"/>
  <c r="E39" i="1" s="1"/>
  <c r="E35" i="1"/>
  <c r="D39" i="1" s="1"/>
  <c r="D34" i="1"/>
  <c r="C38" i="1" s="1"/>
  <c r="D36" i="1"/>
  <c r="E38" i="1" s="1"/>
  <c r="D45" i="1" l="1"/>
  <c r="B45" i="1"/>
  <c r="B43" i="1"/>
  <c r="F43" i="1" s="1"/>
  <c r="B44" i="1"/>
  <c r="B41" i="1"/>
  <c r="F41" i="1" s="1"/>
  <c r="D46" i="1"/>
  <c r="D42" i="1"/>
  <c r="B49" i="1"/>
  <c r="B54" i="1" s="1"/>
  <c r="D44" i="1"/>
  <c r="B47" i="1"/>
  <c r="B42" i="1"/>
  <c r="D41" i="1"/>
  <c r="B48" i="1"/>
  <c r="E45" i="1"/>
  <c r="E47" i="1"/>
  <c r="E49" i="1"/>
  <c r="E54" i="1" s="1"/>
  <c r="E43" i="1"/>
  <c r="E44" i="1"/>
  <c r="E48" i="1"/>
  <c r="E46" i="1"/>
  <c r="E42" i="1"/>
  <c r="D47" i="1"/>
  <c r="C41" i="1"/>
  <c r="C43" i="1"/>
  <c r="C44" i="1"/>
  <c r="C46" i="1"/>
  <c r="C48" i="1"/>
  <c r="C47" i="1"/>
  <c r="C42" i="1"/>
  <c r="C45" i="1"/>
  <c r="C49" i="1"/>
  <c r="C54" i="1" s="1"/>
  <c r="D43" i="1"/>
  <c r="D49" i="1"/>
  <c r="D54" i="1" s="1"/>
  <c r="D48" i="1"/>
  <c r="G43" i="1" l="1"/>
  <c r="G42" i="1"/>
  <c r="H45" i="1"/>
  <c r="I45" i="1" s="1"/>
  <c r="F46" i="1"/>
  <c r="G47" i="1"/>
  <c r="F42" i="1"/>
  <c r="G46" i="1"/>
  <c r="F47" i="1"/>
  <c r="H42" i="1"/>
  <c r="I42" i="1" s="1"/>
  <c r="F45" i="1"/>
  <c r="G45" i="1"/>
  <c r="H47" i="1"/>
  <c r="I47" i="1" s="1"/>
  <c r="H44" i="1"/>
  <c r="I44" i="1" s="1"/>
  <c r="H43" i="1"/>
  <c r="I43" i="1" s="1"/>
  <c r="H48" i="1"/>
  <c r="I48" i="1" s="1"/>
  <c r="G48" i="1"/>
  <c r="G41" i="1"/>
  <c r="H41" i="1"/>
  <c r="H46" i="1"/>
  <c r="I46" i="1" s="1"/>
  <c r="G49" i="1"/>
  <c r="F49" i="1"/>
  <c r="F44" i="1"/>
  <c r="G44" i="1"/>
  <c r="H49" i="1"/>
  <c r="I49" i="1" s="1"/>
  <c r="F48" i="1"/>
  <c r="G50" i="1" l="1"/>
  <c r="H50" i="1"/>
  <c r="I41" i="1"/>
  <c r="I5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<sst xmlns="http://schemas.openxmlformats.org/spreadsheetml/2006/main" count="70" uniqueCount="35">
  <si>
    <t>TAHUN</t>
  </si>
  <si>
    <t xml:space="preserve">HARGA SAHAM </t>
  </si>
  <si>
    <t>BBCA</t>
  </si>
  <si>
    <t>BBRI</t>
  </si>
  <si>
    <t>BBNI</t>
  </si>
  <si>
    <t>BMRI</t>
  </si>
  <si>
    <t>Return</t>
  </si>
  <si>
    <t>Matriks Varian Kovarian</t>
  </si>
  <si>
    <t>Invers</t>
  </si>
  <si>
    <t>V1</t>
  </si>
  <si>
    <t>V2</t>
  </si>
  <si>
    <t>W1</t>
  </si>
  <si>
    <t>W2</t>
  </si>
  <si>
    <t>Alpha</t>
  </si>
  <si>
    <t>Return Portofolio</t>
  </si>
  <si>
    <t>Risiko</t>
  </si>
  <si>
    <t>Kesimpulan</t>
  </si>
  <si>
    <t>Bobot terbaik di 0,9</t>
  </si>
  <si>
    <t>Modal</t>
  </si>
  <si>
    <t>Hasil</t>
  </si>
  <si>
    <t>Saham Tertinggi ada di BBCA</t>
  </si>
  <si>
    <t>Saham Terendah ada di BBRI</t>
  </si>
  <si>
    <t>Misal</t>
  </si>
  <si>
    <t>Rata-rata/Expected Return</t>
  </si>
  <si>
    <t>MAX</t>
  </si>
  <si>
    <t>Min/MVP</t>
  </si>
  <si>
    <t>Varians Portofolio</t>
  </si>
  <si>
    <t>PORTOFOLIO</t>
  </si>
  <si>
    <t>∑Ri</t>
  </si>
  <si>
    <t>∑Rj</t>
  </si>
  <si>
    <t>∑Ri²</t>
  </si>
  <si>
    <t>∑Rj²</t>
  </si>
  <si>
    <r>
      <t>(</t>
    </r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scheme val="minor"/>
      </rPr>
      <t>Ri).(</t>
    </r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scheme val="minor"/>
      </rPr>
      <t>Rj)</t>
    </r>
  </si>
  <si>
    <t>Pi,j</t>
  </si>
  <si>
    <t>Koefisien Antar Saham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</si>
</sst>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A5F4-27C3-433A-946D-55731D8D0C61}">
  <dimension ref="A1:R58"/>
  <sheetViews>
    <sheetView tabSelected="1" topLeftCell="A24" workbookViewId="0">
      <selection activeCell="E34" sqref="E34"/>
    </sheetView>
  </sheetViews>
  <sheetFormatPr defaultRowHeight="14.5" x14ac:dyDescent="0.35"/>
  <cols>
    <col min="1" max="2" width="17" bestFit="1" customWidth="1"/>
    <col min="3" max="5" width="15.90625" bestFit="1" customWidth="1"/>
    <col min="6" max="6" width="12.453125" bestFit="1" customWidth="1"/>
    <col min="7" max="7" width="15.26953125" bestFit="1" customWidth="1"/>
    <col min="8" max="8" width="15.81640625" bestFit="1" customWidth="1"/>
    <col min="11" max="11" width="19.7265625" bestFit="1" customWidth="1"/>
    <col min="12" max="17" width="11.81640625" bestFit="1" customWidth="1"/>
    <col min="18" max="18" width="3.1796875" bestFit="1" customWidth="1"/>
  </cols>
  <sheetData>
    <row r="1" spans="1:18" x14ac:dyDescent="0.35">
      <c r="A1" s="12" t="s">
        <v>0</v>
      </c>
      <c r="B1" s="10" t="s">
        <v>1</v>
      </c>
      <c r="C1" s="10"/>
      <c r="D1" s="10"/>
      <c r="E1" s="10"/>
      <c r="F1" s="10" t="s">
        <v>6</v>
      </c>
      <c r="G1" s="10"/>
      <c r="H1" s="10"/>
      <c r="I1" s="10"/>
      <c r="K1" s="8" t="s">
        <v>34</v>
      </c>
      <c r="L1" s="8"/>
      <c r="M1" s="8"/>
      <c r="N1" s="8"/>
      <c r="O1" s="8"/>
      <c r="P1" s="8"/>
      <c r="Q1" s="8"/>
      <c r="R1" s="8"/>
    </row>
    <row r="2" spans="1:18" x14ac:dyDescent="0.35">
      <c r="A2" s="12"/>
      <c r="B2" s="4" t="s">
        <v>2</v>
      </c>
      <c r="C2" s="4" t="s">
        <v>3</v>
      </c>
      <c r="D2" s="4" t="s">
        <v>4</v>
      </c>
      <c r="E2" s="4" t="s">
        <v>5</v>
      </c>
      <c r="F2" s="4" t="s">
        <v>2</v>
      </c>
      <c r="G2" s="4" t="s">
        <v>3</v>
      </c>
      <c r="H2" s="4" t="s">
        <v>4</v>
      </c>
      <c r="I2" s="4" t="s">
        <v>5</v>
      </c>
      <c r="K2" s="4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4" t="s">
        <v>32</v>
      </c>
      <c r="Q2" s="4" t="s">
        <v>33</v>
      </c>
      <c r="R2" s="4" t="s">
        <v>33</v>
      </c>
    </row>
    <row r="3" spans="1:18" x14ac:dyDescent="0.35">
      <c r="A3" s="1">
        <v>2012</v>
      </c>
      <c r="B3" s="2">
        <v>1820</v>
      </c>
      <c r="C3" s="2">
        <v>1390</v>
      </c>
      <c r="D3" s="2">
        <v>1850</v>
      </c>
      <c r="E3" s="2">
        <v>2025</v>
      </c>
      <c r="F3" s="1"/>
      <c r="G3" s="1"/>
      <c r="H3" s="1"/>
      <c r="I3" s="1"/>
      <c r="K3" s="4">
        <v>1</v>
      </c>
      <c r="L3" s="4">
        <f>F15</f>
        <v>0.16813010985485635</v>
      </c>
      <c r="M3" s="4">
        <f>F15</f>
        <v>0.16813010985485635</v>
      </c>
      <c r="N3" s="4">
        <f>L3^2</f>
        <v>2.8267733839806065E-2</v>
      </c>
      <c r="O3" s="4">
        <f>M3^2</f>
        <v>2.8267733839806065E-2</v>
      </c>
      <c r="P3" s="4">
        <f>L3*M3</f>
        <v>2.8267733839806065E-2</v>
      </c>
      <c r="Q3" s="4">
        <f>(10*P3-(M3)-L3)/SQRT((10*N3-(M3)^2)*(10*O3-(M3)^2))</f>
        <v>-0.21061658188845103</v>
      </c>
      <c r="R3" s="4">
        <v>1</v>
      </c>
    </row>
    <row r="4" spans="1:18" x14ac:dyDescent="0.35">
      <c r="A4" s="1">
        <v>2013</v>
      </c>
      <c r="B4" s="2">
        <v>1920</v>
      </c>
      <c r="C4" s="2">
        <v>1450</v>
      </c>
      <c r="D4" s="2">
        <v>1975</v>
      </c>
      <c r="E4" s="3">
        <v>1962.5</v>
      </c>
      <c r="F4" s="1">
        <f>(B4-B3)/B3</f>
        <v>5.4945054945054944E-2</v>
      </c>
      <c r="G4" s="1">
        <f t="shared" ref="G4:I14" si="0">(C4-C3)/C3</f>
        <v>4.3165467625899283E-2</v>
      </c>
      <c r="H4" s="1">
        <f t="shared" si="0"/>
        <v>6.7567567567567571E-2</v>
      </c>
      <c r="I4" s="1">
        <f t="shared" si="0"/>
        <v>-3.0864197530864196E-2</v>
      </c>
      <c r="K4" s="4">
        <v>2</v>
      </c>
      <c r="L4" s="4">
        <f>L3</f>
        <v>0.16813010985485635</v>
      </c>
      <c r="M4" s="4">
        <f>G15</f>
        <v>0.15576268166480087</v>
      </c>
      <c r="N4" s="4">
        <f t="shared" ref="N4:O12" si="1">L4^2</f>
        <v>2.8267733839806065E-2</v>
      </c>
      <c r="O4" s="4">
        <f t="shared" si="1"/>
        <v>2.4262012999410092E-2</v>
      </c>
      <c r="P4" s="4">
        <f t="shared" ref="P4:P12" si="2">L4*M4</f>
        <v>2.6188396779589989E-2</v>
      </c>
      <c r="Q4" s="4">
        <f t="shared" ref="Q4:Q12" si="3">(10*P4-(M4)-L4)/SQRT((10*N4-(M4)^2)*(10*O4-(M4)^2))</f>
        <v>-0.26104158021514295</v>
      </c>
      <c r="R4" s="4">
        <v>1</v>
      </c>
    </row>
    <row r="5" spans="1:18" x14ac:dyDescent="0.35">
      <c r="A5" s="1">
        <v>2014</v>
      </c>
      <c r="B5" s="2">
        <v>2625</v>
      </c>
      <c r="C5" s="2">
        <v>2330</v>
      </c>
      <c r="D5" s="2">
        <v>3050</v>
      </c>
      <c r="E5" s="3">
        <v>2693.75</v>
      </c>
      <c r="F5" s="1">
        <f t="shared" ref="F5:F14" si="4">(B5-B4)/B4</f>
        <v>0.3671875</v>
      </c>
      <c r="G5" s="1">
        <f t="shared" si="0"/>
        <v>0.60689655172413792</v>
      </c>
      <c r="H5" s="1">
        <f t="shared" si="0"/>
        <v>0.54430379746835444</v>
      </c>
      <c r="I5" s="1">
        <f t="shared" si="0"/>
        <v>0.37261146496815284</v>
      </c>
      <c r="K5" s="4">
        <v>3</v>
      </c>
      <c r="L5" s="4">
        <f>L4</f>
        <v>0.16813010985485635</v>
      </c>
      <c r="M5" s="4">
        <f>H15</f>
        <v>0.13636228866957831</v>
      </c>
      <c r="N5" s="4">
        <f t="shared" si="1"/>
        <v>2.8267733839806065E-2</v>
      </c>
      <c r="O5" s="4">
        <f t="shared" si="1"/>
        <v>1.8594673771205404E-2</v>
      </c>
      <c r="P5" s="4">
        <f t="shared" si="2"/>
        <v>2.2926606574075834E-2</v>
      </c>
      <c r="Q5" s="4">
        <f t="shared" si="3"/>
        <v>-0.35783631080437495</v>
      </c>
      <c r="R5" s="4">
        <v>1</v>
      </c>
    </row>
    <row r="6" spans="1:18" x14ac:dyDescent="0.35">
      <c r="A6" s="1">
        <v>2015</v>
      </c>
      <c r="B6" s="2">
        <v>2660</v>
      </c>
      <c r="C6" s="2">
        <v>2285</v>
      </c>
      <c r="D6" s="2">
        <v>2945</v>
      </c>
      <c r="E6" s="3">
        <v>2312.5</v>
      </c>
      <c r="F6" s="1">
        <f t="shared" si="4"/>
        <v>1.3333333333333334E-2</v>
      </c>
      <c r="G6" s="1">
        <f t="shared" si="0"/>
        <v>-1.9313304721030045E-2</v>
      </c>
      <c r="H6" s="1">
        <f t="shared" si="0"/>
        <v>-3.4426229508196723E-2</v>
      </c>
      <c r="I6" s="1">
        <f t="shared" si="0"/>
        <v>-0.14153132250580047</v>
      </c>
      <c r="K6" s="4">
        <v>4</v>
      </c>
      <c r="L6" s="4">
        <f t="shared" ref="L6" si="5">L5</f>
        <v>0.16813010985485635</v>
      </c>
      <c r="M6" s="4">
        <f>I15</f>
        <v>0.12392189229493815</v>
      </c>
      <c r="N6" s="4">
        <f t="shared" si="1"/>
        <v>2.8267733839806065E-2</v>
      </c>
      <c r="O6" s="4">
        <f t="shared" si="1"/>
        <v>1.535663538995825E-2</v>
      </c>
      <c r="P6" s="4">
        <f t="shared" si="2"/>
        <v>2.0835001364969626E-2</v>
      </c>
      <c r="Q6" s="4">
        <f t="shared" si="3"/>
        <v>-0.43546192401338646</v>
      </c>
      <c r="R6" s="4">
        <v>1</v>
      </c>
    </row>
    <row r="7" spans="1:18" x14ac:dyDescent="0.35">
      <c r="A7" s="1">
        <v>2016</v>
      </c>
      <c r="B7" s="2">
        <v>3100</v>
      </c>
      <c r="C7" s="2">
        <v>2335</v>
      </c>
      <c r="D7" s="3">
        <v>2762.5</v>
      </c>
      <c r="E7" s="3">
        <v>2893.75</v>
      </c>
      <c r="F7" s="1">
        <f t="shared" si="4"/>
        <v>0.16541353383458646</v>
      </c>
      <c r="G7" s="1">
        <f t="shared" si="0"/>
        <v>2.1881838074398249E-2</v>
      </c>
      <c r="H7" s="1">
        <f t="shared" si="0"/>
        <v>-6.1969439728353143E-2</v>
      </c>
      <c r="I7" s="1">
        <f t="shared" si="0"/>
        <v>0.25135135135135134</v>
      </c>
      <c r="K7" s="4">
        <v>5</v>
      </c>
      <c r="L7" s="4">
        <f>G15</f>
        <v>0.15576268166480087</v>
      </c>
      <c r="M7" s="4">
        <f>L7</f>
        <v>0.15576268166480087</v>
      </c>
      <c r="N7" s="4">
        <f>L7^2</f>
        <v>2.4262012999410092E-2</v>
      </c>
      <c r="O7" s="4">
        <f t="shared" si="1"/>
        <v>2.4262012999410092E-2</v>
      </c>
      <c r="P7" s="4">
        <f t="shared" si="2"/>
        <v>2.4262012999410092E-2</v>
      </c>
      <c r="Q7" s="4">
        <f t="shared" si="3"/>
        <v>-0.31556066833630081</v>
      </c>
      <c r="R7" s="4">
        <v>1</v>
      </c>
    </row>
    <row r="8" spans="1:18" x14ac:dyDescent="0.35">
      <c r="A8" s="1">
        <v>2017</v>
      </c>
      <c r="B8" s="2">
        <v>4380</v>
      </c>
      <c r="C8" s="2">
        <v>3640</v>
      </c>
      <c r="D8" s="2">
        <v>4950</v>
      </c>
      <c r="E8" s="2">
        <v>4000</v>
      </c>
      <c r="F8" s="1">
        <f t="shared" si="4"/>
        <v>0.41290322580645161</v>
      </c>
      <c r="G8" s="1">
        <f t="shared" si="0"/>
        <v>0.5588865096359743</v>
      </c>
      <c r="H8" s="1">
        <f t="shared" si="0"/>
        <v>0.79185520361990946</v>
      </c>
      <c r="I8" s="1">
        <f t="shared" si="0"/>
        <v>0.38228941684665224</v>
      </c>
      <c r="K8" s="4">
        <v>6</v>
      </c>
      <c r="L8" s="4">
        <f>L7</f>
        <v>0.15576268166480087</v>
      </c>
      <c r="M8" s="4">
        <f>H15</f>
        <v>0.13636228866957831</v>
      </c>
      <c r="N8" s="4">
        <f t="shared" ref="N8:N9" si="6">L8^2</f>
        <v>2.4262012999410092E-2</v>
      </c>
      <c r="O8" s="4">
        <f t="shared" si="1"/>
        <v>1.8594673771205404E-2</v>
      </c>
      <c r="P8" s="4">
        <f t="shared" si="2"/>
        <v>2.124015576112321E-2</v>
      </c>
      <c r="Q8" s="4">
        <f t="shared" si="3"/>
        <v>-0.41173867219999988</v>
      </c>
      <c r="R8" s="4">
        <v>1</v>
      </c>
    </row>
    <row r="9" spans="1:18" x14ac:dyDescent="0.35">
      <c r="A9" s="1">
        <v>2018</v>
      </c>
      <c r="B9" s="2">
        <v>5200</v>
      </c>
      <c r="C9" s="2">
        <v>3660</v>
      </c>
      <c r="D9" s="2">
        <v>4400</v>
      </c>
      <c r="E9" s="3">
        <v>3687.5</v>
      </c>
      <c r="F9" s="1">
        <f t="shared" si="4"/>
        <v>0.18721461187214611</v>
      </c>
      <c r="G9" s="1">
        <f t="shared" si="0"/>
        <v>5.4945054945054949E-3</v>
      </c>
      <c r="H9" s="1">
        <f t="shared" si="0"/>
        <v>-0.1111111111111111</v>
      </c>
      <c r="I9" s="1">
        <f t="shared" si="0"/>
        <v>-7.8125E-2</v>
      </c>
      <c r="K9" s="4">
        <v>7</v>
      </c>
      <c r="L9" s="4">
        <f>L8</f>
        <v>0.15576268166480087</v>
      </c>
      <c r="M9" s="4">
        <f>I15</f>
        <v>0.12392189229493815</v>
      </c>
      <c r="N9" s="4">
        <f t="shared" si="6"/>
        <v>2.4262012999410092E-2</v>
      </c>
      <c r="O9" s="4">
        <f t="shared" si="1"/>
        <v>1.535663538995825E-2</v>
      </c>
      <c r="P9" s="4">
        <f t="shared" si="2"/>
        <v>1.9302406260836191E-2</v>
      </c>
      <c r="Q9" s="4">
        <f t="shared" si="3"/>
        <v>-0.48897551846320353</v>
      </c>
      <c r="R9" s="4">
        <v>1</v>
      </c>
    </row>
    <row r="10" spans="1:18" x14ac:dyDescent="0.35">
      <c r="A10" s="1">
        <v>2019</v>
      </c>
      <c r="B10" s="2">
        <v>6685</v>
      </c>
      <c r="C10" s="2">
        <v>4400</v>
      </c>
      <c r="D10" s="2">
        <v>3925</v>
      </c>
      <c r="E10" s="3">
        <v>3837.5</v>
      </c>
      <c r="F10" s="1">
        <f t="shared" si="4"/>
        <v>0.28557692307692306</v>
      </c>
      <c r="G10" s="1">
        <f t="shared" si="0"/>
        <v>0.20218579234972678</v>
      </c>
      <c r="H10" s="1">
        <f t="shared" si="0"/>
        <v>-0.10795454545454546</v>
      </c>
      <c r="I10" s="1">
        <f t="shared" si="0"/>
        <v>4.0677966101694912E-2</v>
      </c>
      <c r="K10" s="4">
        <v>8</v>
      </c>
      <c r="L10" s="4">
        <f>H15</f>
        <v>0.13636228866957831</v>
      </c>
      <c r="M10" s="4">
        <f>L10</f>
        <v>0.13636228866957831</v>
      </c>
      <c r="N10" s="4">
        <f>L10^2</f>
        <v>1.8594673771205404E-2</v>
      </c>
      <c r="O10" s="4">
        <f t="shared" si="1"/>
        <v>1.8594673771205404E-2</v>
      </c>
      <c r="P10" s="4">
        <f t="shared" si="2"/>
        <v>1.8594673771205404E-2</v>
      </c>
      <c r="Q10" s="4">
        <f t="shared" si="3"/>
        <v>-0.51853462445359855</v>
      </c>
      <c r="R10" s="4">
        <v>1</v>
      </c>
    </row>
    <row r="11" spans="1:18" x14ac:dyDescent="0.35">
      <c r="A11" s="1">
        <v>2020</v>
      </c>
      <c r="B11" s="2">
        <v>6670</v>
      </c>
      <c r="C11" s="2">
        <v>4170</v>
      </c>
      <c r="D11" s="3">
        <v>3087.5</v>
      </c>
      <c r="E11" s="3">
        <v>3162.5</v>
      </c>
      <c r="F11" s="1">
        <f t="shared" si="4"/>
        <v>-2.243829468960359E-3</v>
      </c>
      <c r="G11" s="1">
        <f t="shared" si="0"/>
        <v>-5.2272727272727269E-2</v>
      </c>
      <c r="H11" s="1">
        <f t="shared" si="0"/>
        <v>-0.21337579617834396</v>
      </c>
      <c r="I11" s="1">
        <f t="shared" si="0"/>
        <v>-0.1758957654723127</v>
      </c>
      <c r="K11" s="4">
        <v>9</v>
      </c>
      <c r="L11" s="4">
        <f>L10</f>
        <v>0.13636228866957831</v>
      </c>
      <c r="M11" s="4">
        <f>I15</f>
        <v>0.12392189229493815</v>
      </c>
      <c r="N11" s="4">
        <f>L11^2</f>
        <v>1.8594673771205404E-2</v>
      </c>
      <c r="O11" s="4">
        <f t="shared" si="1"/>
        <v>1.535663538995825E-2</v>
      </c>
      <c r="P11" s="4">
        <f t="shared" si="2"/>
        <v>1.6898272849602748E-2</v>
      </c>
      <c r="Q11" s="4">
        <f t="shared" si="3"/>
        <v>-0.5946090028602351</v>
      </c>
      <c r="R11" s="4">
        <v>1</v>
      </c>
    </row>
    <row r="12" spans="1:18" x14ac:dyDescent="0.35">
      <c r="A12" s="1">
        <v>2021</v>
      </c>
      <c r="B12" s="2">
        <v>7300</v>
      </c>
      <c r="C12" s="2">
        <v>4110</v>
      </c>
      <c r="D12" s="2">
        <v>3375</v>
      </c>
      <c r="E12" s="3">
        <v>3512.5</v>
      </c>
      <c r="F12" s="1">
        <f t="shared" si="4"/>
        <v>9.4452773613193403E-2</v>
      </c>
      <c r="G12" s="1">
        <f t="shared" si="0"/>
        <v>-1.4388489208633094E-2</v>
      </c>
      <c r="H12" s="1">
        <f t="shared" si="0"/>
        <v>9.3117408906882596E-2</v>
      </c>
      <c r="I12" s="1">
        <f t="shared" si="0"/>
        <v>0.11067193675889328</v>
      </c>
      <c r="K12" s="4">
        <v>10</v>
      </c>
      <c r="L12" s="4">
        <f>I15</f>
        <v>0.12392189229493815</v>
      </c>
      <c r="M12" s="4">
        <f>L12</f>
        <v>0.12392189229493815</v>
      </c>
      <c r="N12" s="4">
        <f>L12^2</f>
        <v>1.535663538995825E-2</v>
      </c>
      <c r="O12" s="4">
        <f t="shared" si="1"/>
        <v>1.535663538995825E-2</v>
      </c>
      <c r="P12" s="4">
        <f t="shared" si="2"/>
        <v>1.535663538995825E-2</v>
      </c>
      <c r="Q12" s="4">
        <f t="shared" si="3"/>
        <v>-0.68213315030902666</v>
      </c>
      <c r="R12" s="4">
        <v>1</v>
      </c>
    </row>
    <row r="13" spans="1:18" x14ac:dyDescent="0.35">
      <c r="A13" s="1">
        <v>2022</v>
      </c>
      <c r="B13" s="2">
        <v>8550</v>
      </c>
      <c r="C13" s="2">
        <v>4940</v>
      </c>
      <c r="D13" s="3">
        <v>4612.5</v>
      </c>
      <c r="E13" s="3">
        <v>4962.5</v>
      </c>
      <c r="F13" s="1">
        <f t="shared" si="4"/>
        <v>0.17123287671232876</v>
      </c>
      <c r="G13" s="1">
        <f t="shared" si="0"/>
        <v>0.20194647201946472</v>
      </c>
      <c r="H13" s="1">
        <f t="shared" si="0"/>
        <v>0.36666666666666664</v>
      </c>
      <c r="I13" s="1">
        <f t="shared" si="0"/>
        <v>0.41281138790035588</v>
      </c>
    </row>
    <row r="14" spans="1:18" x14ac:dyDescent="0.35">
      <c r="A14" s="1">
        <v>2023</v>
      </c>
      <c r="B14" s="2">
        <v>9400</v>
      </c>
      <c r="C14" s="2">
        <v>5725</v>
      </c>
      <c r="D14" s="2">
        <v>5375</v>
      </c>
      <c r="E14" s="2">
        <v>6050</v>
      </c>
      <c r="F14" s="1">
        <f t="shared" si="4"/>
        <v>9.9415204678362568E-2</v>
      </c>
      <c r="G14" s="1">
        <f t="shared" si="0"/>
        <v>0.15890688259109312</v>
      </c>
      <c r="H14" s="1">
        <f t="shared" si="0"/>
        <v>0.16531165311653118</v>
      </c>
      <c r="I14" s="1">
        <f t="shared" si="0"/>
        <v>0.21914357682619648</v>
      </c>
    </row>
    <row r="15" spans="1:18" x14ac:dyDescent="0.35">
      <c r="A15" s="10" t="s">
        <v>23</v>
      </c>
      <c r="B15" s="10"/>
      <c r="C15" s="10"/>
      <c r="D15" s="10"/>
      <c r="E15" s="10"/>
      <c r="F15" s="5">
        <f>AVERAGE(F4:F14)</f>
        <v>0.16813010985485635</v>
      </c>
      <c r="G15" s="1">
        <f>AVERAGE(G4:G14)</f>
        <v>0.15576268166480087</v>
      </c>
      <c r="H15" s="1">
        <f>AVERAGE(H4:H14)</f>
        <v>0.13636228866957831</v>
      </c>
      <c r="I15" s="1">
        <f>AVERAGE(I4:I14)</f>
        <v>0.12392189229493815</v>
      </c>
    </row>
    <row r="16" spans="1:18" x14ac:dyDescent="0.35">
      <c r="A16" s="10" t="s">
        <v>24</v>
      </c>
      <c r="B16" s="10"/>
      <c r="C16" s="10"/>
      <c r="D16" s="10"/>
      <c r="E16" s="10"/>
      <c r="F16" s="11">
        <f>MAX(F15:I15)</f>
        <v>0.16813010985485635</v>
      </c>
      <c r="G16" s="11"/>
      <c r="H16" s="11"/>
      <c r="I16" s="11"/>
    </row>
    <row r="18" spans="1:7" x14ac:dyDescent="0.35">
      <c r="A18" s="8" t="s">
        <v>7</v>
      </c>
      <c r="B18" s="8"/>
      <c r="C18" s="8"/>
      <c r="D18" s="8"/>
      <c r="E18" s="8"/>
    </row>
    <row r="19" spans="1:7" x14ac:dyDescent="0.35">
      <c r="A19" s="1"/>
      <c r="B19" s="4" t="s">
        <v>2</v>
      </c>
      <c r="C19" s="4" t="s">
        <v>3</v>
      </c>
      <c r="D19" s="4" t="s">
        <v>4</v>
      </c>
      <c r="E19" s="4" t="s">
        <v>5</v>
      </c>
    </row>
    <row r="20" spans="1:7" x14ac:dyDescent="0.35">
      <c r="A20" s="4" t="s">
        <v>2</v>
      </c>
      <c r="B20" s="1">
        <f>VAR(F4:F14)</f>
        <v>1.8966296791094805E-2</v>
      </c>
      <c r="C20" s="1">
        <f>B21</f>
        <v>2.5379674389156479E-2</v>
      </c>
      <c r="D20" s="1">
        <f>B22</f>
        <v>2.7681295954935424E-2</v>
      </c>
      <c r="E20" s="1">
        <f>B23</f>
        <v>1.8526124544151003E-2</v>
      </c>
    </row>
    <row r="21" spans="1:7" x14ac:dyDescent="0.35">
      <c r="A21" s="4" t="s">
        <v>3</v>
      </c>
      <c r="B21" s="1">
        <f>COVAR(F4:F14,G4:G14)</f>
        <v>2.5379674389156479E-2</v>
      </c>
      <c r="C21" s="1">
        <f>VAR(G4:G14)</f>
        <v>5.263930140792239E-2</v>
      </c>
      <c r="D21" s="1">
        <f>C22</f>
        <v>5.7197252654054724E-2</v>
      </c>
      <c r="E21" s="1">
        <f>C23</f>
        <v>3.3450396892641246E-2</v>
      </c>
    </row>
    <row r="22" spans="1:7" x14ac:dyDescent="0.35">
      <c r="A22" s="4" t="s">
        <v>4</v>
      </c>
      <c r="B22" s="1">
        <f>COVAR(F4:F14,H4:H14)</f>
        <v>2.7681295954935424E-2</v>
      </c>
      <c r="C22" s="1">
        <f>COVAR(G4:G14,H4:H14)</f>
        <v>5.7197252654054724E-2</v>
      </c>
      <c r="D22" s="1">
        <f>VAR(H4:H14)</f>
        <v>9.6832296111401678E-2</v>
      </c>
      <c r="E22" s="1">
        <f>D23</f>
        <v>4.9689026943796961E-2</v>
      </c>
    </row>
    <row r="23" spans="1:7" x14ac:dyDescent="0.35">
      <c r="A23" s="4" t="s">
        <v>5</v>
      </c>
      <c r="B23" s="1">
        <f>COVAR(F4:F14,I4:I14)</f>
        <v>1.8526124544151003E-2</v>
      </c>
      <c r="C23" s="1">
        <f>COVAR(G4:G14,I4:I14)</f>
        <v>3.3450396892641246E-2</v>
      </c>
      <c r="D23" s="1">
        <f>COVAR(H4:H14,I4:I14)</f>
        <v>4.9689026943796961E-2</v>
      </c>
      <c r="E23" s="1">
        <f>VAR(I4:I14)</f>
        <v>4.6960568822736429E-2</v>
      </c>
    </row>
    <row r="25" spans="1:7" x14ac:dyDescent="0.35">
      <c r="A25" s="9" t="s">
        <v>8</v>
      </c>
      <c r="B25" s="9"/>
      <c r="C25" s="9"/>
      <c r="D25" s="9"/>
      <c r="E25" s="9"/>
    </row>
    <row r="26" spans="1:7" x14ac:dyDescent="0.35">
      <c r="A26" s="1"/>
      <c r="B26" s="4" t="s">
        <v>2</v>
      </c>
      <c r="C26" s="4" t="s">
        <v>3</v>
      </c>
      <c r="D26" s="4" t="s">
        <v>4</v>
      </c>
      <c r="E26" s="4" t="s">
        <v>5</v>
      </c>
    </row>
    <row r="27" spans="1:7" x14ac:dyDescent="0.35">
      <c r="A27" s="4" t="s">
        <v>2</v>
      </c>
      <c r="B27" s="1" cm="1">
        <f t="array" ref="B27:E30">MINVERSE(B20:E23)</f>
        <v>154.82244047425726</v>
      </c>
      <c r="C27" s="1">
        <v>-70.282433861299197</v>
      </c>
      <c r="D27" s="1">
        <v>6.3632907848788305</v>
      </c>
      <c r="E27" s="1">
        <v>-17.748299379026125</v>
      </c>
      <c r="F27" s="1">
        <v>1</v>
      </c>
      <c r="G27" s="1">
        <f>F15</f>
        <v>0.16813010985485635</v>
      </c>
    </row>
    <row r="28" spans="1:7" x14ac:dyDescent="0.35">
      <c r="A28" s="4" t="s">
        <v>3</v>
      </c>
      <c r="B28" s="1">
        <v>-70.282433861299225</v>
      </c>
      <c r="C28" s="1">
        <v>87.243435205377935</v>
      </c>
      <c r="D28" s="1">
        <v>-30.151712508978335</v>
      </c>
      <c r="E28" s="1">
        <v>-2.5139634935476729</v>
      </c>
      <c r="F28" s="1">
        <v>1</v>
      </c>
      <c r="G28" s="1">
        <f>G15</f>
        <v>0.15576268166480087</v>
      </c>
    </row>
    <row r="29" spans="1:7" x14ac:dyDescent="0.35">
      <c r="A29" s="4" t="s">
        <v>4</v>
      </c>
      <c r="B29" s="1">
        <v>6.3632907848787941</v>
      </c>
      <c r="C29" s="1">
        <v>-30.151712508978321</v>
      </c>
      <c r="D29" s="1">
        <v>36.288648689134021</v>
      </c>
      <c r="E29" s="1">
        <v>-19.430088529927779</v>
      </c>
      <c r="F29" s="1">
        <v>1</v>
      </c>
      <c r="G29" s="1">
        <f>H15</f>
        <v>0.13636228866957831</v>
      </c>
    </row>
    <row r="30" spans="1:7" x14ac:dyDescent="0.35">
      <c r="A30" s="4" t="s">
        <v>5</v>
      </c>
      <c r="B30" s="1">
        <v>-17.748299379026097</v>
      </c>
      <c r="C30" s="1">
        <v>-2.5139634935476938</v>
      </c>
      <c r="D30" s="1">
        <v>-19.430088529927779</v>
      </c>
      <c r="E30" s="1">
        <v>50.645946875923073</v>
      </c>
      <c r="F30" s="1">
        <v>1</v>
      </c>
      <c r="G30" s="1">
        <f>I15</f>
        <v>0.12392189229493815</v>
      </c>
    </row>
    <row r="32" spans="1:7" x14ac:dyDescent="0.35">
      <c r="A32" s="1"/>
      <c r="B32" s="1" t="s">
        <v>9</v>
      </c>
      <c r="C32" s="1" t="s">
        <v>10</v>
      </c>
      <c r="D32" s="1" t="s">
        <v>11</v>
      </c>
      <c r="E32" s="1" t="s">
        <v>12</v>
      </c>
    </row>
    <row r="33" spans="1:9" x14ac:dyDescent="0.35">
      <c r="A33" s="4" t="s">
        <v>2</v>
      </c>
      <c r="B33" s="1" cm="1">
        <f t="array" ref="B33:B36">MMULT(B27:E30,F27:F30)</f>
        <v>73.154998018810772</v>
      </c>
      <c r="C33" s="1" cm="1">
        <f t="array" ref="C33:C36">MMULT(B27:E30,G27:G30)</f>
        <v>13.751243603598986</v>
      </c>
      <c r="D33" s="1">
        <f>B33/SUM(_xlfn.ANCHORARRAY($B$33))</f>
        <v>1.1900141501776247</v>
      </c>
      <c r="E33" s="1">
        <f>C33/(SUM(_xlfn.ANCHORARRAY($C$33)))</f>
        <v>1.3395232991989774</v>
      </c>
    </row>
    <row r="34" spans="1:9" x14ac:dyDescent="0.35">
      <c r="A34" s="4" t="s">
        <v>3</v>
      </c>
      <c r="B34" s="1">
        <v>-15.704674658447297</v>
      </c>
      <c r="C34" s="1">
        <v>-2.650413539040211</v>
      </c>
      <c r="D34" s="1">
        <f t="shared" ref="D34:D36" si="7">B34/SUM(_xlfn.ANCHORARRAY($B$33))</f>
        <v>-0.25546832853009827</v>
      </c>
      <c r="E34" s="1">
        <f t="shared" ref="E34:E36" si="8">C34/(SUM(_xlfn.ANCHORARRAY($C$33)))</f>
        <v>-0.25817960836121007</v>
      </c>
    </row>
    <row r="35" spans="1:9" x14ac:dyDescent="0.35">
      <c r="A35" s="4" t="s">
        <v>4</v>
      </c>
      <c r="B35" s="1">
        <v>-6.9298615648932866</v>
      </c>
      <c r="C35" s="1">
        <v>-1.086060968594734</v>
      </c>
      <c r="D35" s="1">
        <f t="shared" si="7"/>
        <v>-0.11272822834161739</v>
      </c>
      <c r="E35" s="1">
        <f t="shared" si="8"/>
        <v>-0.10579435676657656</v>
      </c>
    </row>
    <row r="36" spans="1:9" x14ac:dyDescent="0.35">
      <c r="A36" s="4" t="s">
        <v>5</v>
      </c>
      <c r="B36" s="1">
        <v>10.953595473421501</v>
      </c>
      <c r="C36" s="1">
        <v>0.25100501324488711</v>
      </c>
      <c r="D36" s="1">
        <f t="shared" si="7"/>
        <v>0.17818240669409102</v>
      </c>
      <c r="E36" s="1">
        <f t="shared" si="8"/>
        <v>2.4450665928809272E-2</v>
      </c>
    </row>
    <row r="38" spans="1:9" x14ac:dyDescent="0.35">
      <c r="A38" s="4" t="s">
        <v>11</v>
      </c>
      <c r="B38" s="1">
        <f>D33</f>
        <v>1.1900141501776247</v>
      </c>
      <c r="C38" s="1">
        <f>D34</f>
        <v>-0.25546832853009827</v>
      </c>
      <c r="D38" s="1">
        <f>D35</f>
        <v>-0.11272822834161739</v>
      </c>
      <c r="E38" s="1">
        <f>D36</f>
        <v>0.17818240669409102</v>
      </c>
    </row>
    <row r="39" spans="1:9" x14ac:dyDescent="0.35">
      <c r="A39" s="4" t="s">
        <v>12</v>
      </c>
      <c r="B39" s="1">
        <f>E33</f>
        <v>1.3395232991989774</v>
      </c>
      <c r="C39" s="1">
        <f>E34</f>
        <v>-0.25817960836121007</v>
      </c>
      <c r="D39" s="1">
        <f>E35</f>
        <v>-0.10579435676657656</v>
      </c>
      <c r="E39" s="1">
        <f>E36</f>
        <v>2.4450665928809272E-2</v>
      </c>
    </row>
    <row r="40" spans="1:9" x14ac:dyDescent="0.35">
      <c r="A40" s="4" t="s">
        <v>13</v>
      </c>
      <c r="B40" s="4" t="s">
        <v>2</v>
      </c>
      <c r="C40" s="4" t="s">
        <v>3</v>
      </c>
      <c r="D40" s="4" t="s">
        <v>4</v>
      </c>
      <c r="E40" s="4" t="s">
        <v>5</v>
      </c>
      <c r="F40" s="1"/>
      <c r="G40" s="4" t="s">
        <v>14</v>
      </c>
      <c r="H40" s="4" t="s">
        <v>26</v>
      </c>
      <c r="I40" s="4" t="s">
        <v>15</v>
      </c>
    </row>
    <row r="41" spans="1:9" x14ac:dyDescent="0.35">
      <c r="A41" s="1">
        <v>0.1</v>
      </c>
      <c r="B41" s="1">
        <f t="shared" ref="B41:B49" si="9">A41*$B$38+((1-A41)*$B$39)</f>
        <v>1.3245723842968422</v>
      </c>
      <c r="C41" s="1">
        <f>A41*$C$38+((1-A41)*$C$39)</f>
        <v>-0.25790848037809888</v>
      </c>
      <c r="D41" s="1">
        <f>A41*$D$38+((1-A41)*$D$39)</f>
        <v>-0.10648774392408064</v>
      </c>
      <c r="E41" s="1">
        <f>A41*$E$38+((1-A41)*$E$39)</f>
        <v>3.9823840005337452E-2</v>
      </c>
      <c r="F41" s="1">
        <f>SUM(B41:E41)</f>
        <v>1</v>
      </c>
      <c r="G41" s="1">
        <f t="shared" ref="G41:G49" si="10">B41*$G$27+C41*$G$28+D41*$G$29+E41*$G$30</f>
        <v>0.17294211708991539</v>
      </c>
      <c r="H41" s="1">
        <f>B41^2*$B$20+C41^2*$C$21+D41^2*$D$22+E41^2*$E$23+2*(B41*C41*$B$21+B41*D41*$B$22+B41*E41*$B$23+C41*D41*$C$22+C41*E41*$C$23+D41*E41*$D$23)</f>
        <v>1.6788530851521349E-2</v>
      </c>
      <c r="I41" s="1">
        <f>SQRT(H41)</f>
        <v>0.12957056321372284</v>
      </c>
    </row>
    <row r="42" spans="1:9" x14ac:dyDescent="0.35">
      <c r="A42" s="1">
        <v>0.2</v>
      </c>
      <c r="B42" s="1">
        <f t="shared" si="9"/>
        <v>1.309621469394707</v>
      </c>
      <c r="C42" s="1">
        <f t="shared" ref="C42:C49" si="11">A42*$C$38+((1-A42)*$C$39)</f>
        <v>-0.2576373523949877</v>
      </c>
      <c r="D42" s="1">
        <f t="shared" ref="D42:D49" si="12">A42*$D$38+((1-A42)*$D$39)</f>
        <v>-0.10718113108158474</v>
      </c>
      <c r="E42" s="1">
        <f t="shared" ref="E42:E49" si="13">A42*$E$38+((1-A42)*$E$39)</f>
        <v>5.5197014081865628E-2</v>
      </c>
      <c r="F42" s="1">
        <f t="shared" ref="F42:F49" si="14">SUM(B42:E42)</f>
        <v>1.0000000000000002</v>
      </c>
      <c r="G42" s="1">
        <f t="shared" si="10"/>
        <v>0.17228117070912408</v>
      </c>
      <c r="H42" s="1">
        <f t="shared" ref="H42:H49" si="15">B42^2*$B$20+C42^2*$C$21+D42^2*$D$22+E42^2*$E$23+2*(B42*C42*$B$21+B42*D42*$B$22+B42*E42*$B$23+C42*D42*$C$22+C42*E42*$C$23+D42*E42*$D$23)</f>
        <v>1.6679078915857064E-2</v>
      </c>
      <c r="I42" s="1">
        <f t="shared" ref="I42:I49" si="16">SQRT(H42)</f>
        <v>0.12914750836100966</v>
      </c>
    </row>
    <row r="43" spans="1:9" x14ac:dyDescent="0.35">
      <c r="A43" s="1">
        <v>0.3</v>
      </c>
      <c r="B43" s="1">
        <f t="shared" si="9"/>
        <v>1.2946705544925714</v>
      </c>
      <c r="C43" s="1">
        <f t="shared" si="11"/>
        <v>-0.25736622441187651</v>
      </c>
      <c r="D43" s="1">
        <f t="shared" si="12"/>
        <v>-0.10787451823908881</v>
      </c>
      <c r="E43" s="1">
        <f t="shared" si="13"/>
        <v>7.057018815839379E-2</v>
      </c>
      <c r="F43" s="1">
        <f t="shared" si="14"/>
        <v>1</v>
      </c>
      <c r="G43" s="1">
        <f t="shared" si="10"/>
        <v>0.17162022432833268</v>
      </c>
      <c r="H43" s="1">
        <f t="shared" si="15"/>
        <v>1.6582503678506215E-2</v>
      </c>
      <c r="I43" s="1">
        <f t="shared" si="16"/>
        <v>0.12877307047091102</v>
      </c>
    </row>
    <row r="44" spans="1:9" x14ac:dyDescent="0.35">
      <c r="A44" s="1">
        <v>0.4</v>
      </c>
      <c r="B44" s="1">
        <f t="shared" si="9"/>
        <v>1.2797196395904362</v>
      </c>
      <c r="C44" s="1">
        <f t="shared" si="11"/>
        <v>-0.25709509642876538</v>
      </c>
      <c r="D44" s="1">
        <f t="shared" si="12"/>
        <v>-0.10856790539659289</v>
      </c>
      <c r="E44" s="1">
        <f t="shared" si="13"/>
        <v>8.594336223492198E-2</v>
      </c>
      <c r="F44" s="1">
        <f t="shared" si="14"/>
        <v>0.99999999999999978</v>
      </c>
      <c r="G44" s="1">
        <f t="shared" si="10"/>
        <v>0.17095927794754137</v>
      </c>
      <c r="H44" s="1">
        <f t="shared" si="15"/>
        <v>1.6498805139468813E-2</v>
      </c>
      <c r="I44" s="1">
        <f t="shared" si="16"/>
        <v>0.12844767471413726</v>
      </c>
    </row>
    <row r="45" spans="1:9" x14ac:dyDescent="0.35">
      <c r="A45" s="1">
        <v>0.5</v>
      </c>
      <c r="B45" s="1">
        <f t="shared" si="9"/>
        <v>1.264768724688301</v>
      </c>
      <c r="C45" s="1">
        <f t="shared" si="11"/>
        <v>-0.25682396844565414</v>
      </c>
      <c r="D45" s="1">
        <f t="shared" si="12"/>
        <v>-0.10926129255409697</v>
      </c>
      <c r="E45" s="1">
        <f t="shared" si="13"/>
        <v>0.10131653631145014</v>
      </c>
      <c r="F45" s="1">
        <f t="shared" si="14"/>
        <v>1</v>
      </c>
      <c r="G45" s="1">
        <f t="shared" si="10"/>
        <v>0.17029833156675001</v>
      </c>
      <c r="H45" s="1">
        <f t="shared" si="15"/>
        <v>1.6427983298744859E-2</v>
      </c>
      <c r="I45" s="1">
        <f t="shared" si="16"/>
        <v>0.128171694608228</v>
      </c>
    </row>
    <row r="46" spans="1:9" x14ac:dyDescent="0.35">
      <c r="A46" s="1">
        <v>0.6</v>
      </c>
      <c r="B46" s="1">
        <f t="shared" si="9"/>
        <v>1.2498178097861659</v>
      </c>
      <c r="C46" s="1">
        <f t="shared" si="11"/>
        <v>-0.25655284046254301</v>
      </c>
      <c r="D46" s="1">
        <f t="shared" si="12"/>
        <v>-0.10995467971160106</v>
      </c>
      <c r="E46" s="1">
        <f t="shared" si="13"/>
        <v>0.11668971038797832</v>
      </c>
      <c r="F46" s="1">
        <f t="shared" si="14"/>
        <v>1</v>
      </c>
      <c r="G46" s="1">
        <f t="shared" si="10"/>
        <v>0.16963738518595869</v>
      </c>
      <c r="H46" s="1">
        <f t="shared" si="15"/>
        <v>1.6370038156334359E-2</v>
      </c>
      <c r="I46" s="1">
        <f t="shared" si="16"/>
        <v>0.12794544992431095</v>
      </c>
    </row>
    <row r="47" spans="1:9" x14ac:dyDescent="0.35">
      <c r="A47" s="1">
        <v>0.7</v>
      </c>
      <c r="B47" s="1">
        <f t="shared" si="9"/>
        <v>1.2348668948840305</v>
      </c>
      <c r="C47" s="1">
        <f t="shared" si="11"/>
        <v>-0.25628171247943182</v>
      </c>
      <c r="D47" s="1">
        <f t="shared" si="12"/>
        <v>-0.11064806686910514</v>
      </c>
      <c r="E47" s="1">
        <f t="shared" si="13"/>
        <v>0.13206288446450648</v>
      </c>
      <c r="F47" s="1">
        <f t="shared" si="14"/>
        <v>1</v>
      </c>
      <c r="G47" s="1">
        <f t="shared" si="10"/>
        <v>0.16897643880516736</v>
      </c>
      <c r="H47" s="1">
        <f t="shared" si="15"/>
        <v>1.6324969712237292E-2</v>
      </c>
      <c r="I47" s="1">
        <f t="shared" si="16"/>
        <v>0.12776920486657686</v>
      </c>
    </row>
    <row r="48" spans="1:9" x14ac:dyDescent="0.35">
      <c r="A48" s="1">
        <v>0.8</v>
      </c>
      <c r="B48" s="1">
        <f t="shared" si="9"/>
        <v>1.2199159799818953</v>
      </c>
      <c r="C48" s="1">
        <f t="shared" si="11"/>
        <v>-0.25601058449632064</v>
      </c>
      <c r="D48" s="1">
        <f t="shared" si="12"/>
        <v>-0.11134145402660922</v>
      </c>
      <c r="E48" s="1">
        <f t="shared" si="13"/>
        <v>0.14743605854103467</v>
      </c>
      <c r="F48" s="1">
        <f t="shared" si="14"/>
        <v>1</v>
      </c>
      <c r="G48" s="1">
        <f t="shared" si="10"/>
        <v>0.16831549242437602</v>
      </c>
      <c r="H48" s="1">
        <f t="shared" si="15"/>
        <v>1.6292777966453689E-2</v>
      </c>
      <c r="I48" s="1">
        <f t="shared" si="16"/>
        <v>0.12764316654820848</v>
      </c>
    </row>
    <row r="49" spans="1:9" x14ac:dyDescent="0.35">
      <c r="A49" s="5">
        <v>0.9</v>
      </c>
      <c r="B49" s="5">
        <f t="shared" si="9"/>
        <v>1.2049650650797599</v>
      </c>
      <c r="C49" s="5">
        <f t="shared" si="11"/>
        <v>-0.25573945651320945</v>
      </c>
      <c r="D49" s="5">
        <f t="shared" si="12"/>
        <v>-0.1120348411841133</v>
      </c>
      <c r="E49" s="5">
        <f t="shared" si="13"/>
        <v>0.16280923261756286</v>
      </c>
      <c r="F49" s="1">
        <f t="shared" si="14"/>
        <v>1</v>
      </c>
      <c r="G49" s="1">
        <f t="shared" si="10"/>
        <v>0.16765454604358468</v>
      </c>
      <c r="H49" s="1">
        <f t="shared" si="15"/>
        <v>1.6273462918983513E-2</v>
      </c>
      <c r="I49" s="1">
        <f t="shared" si="16"/>
        <v>0.12756748378400945</v>
      </c>
    </row>
    <row r="50" spans="1:9" x14ac:dyDescent="0.35">
      <c r="F50" s="1" t="s">
        <v>25</v>
      </c>
      <c r="G50" s="1">
        <f>MIN(G41:G49)</f>
        <v>0.16765454604358468</v>
      </c>
      <c r="H50" s="1">
        <f>MIN(H41:H49)</f>
        <v>1.6273462918983513E-2</v>
      </c>
      <c r="I50" s="1">
        <f>MIN(I41:I49)</f>
        <v>0.12756748378400945</v>
      </c>
    </row>
    <row r="51" spans="1:9" x14ac:dyDescent="0.35">
      <c r="F51" t="s">
        <v>16</v>
      </c>
      <c r="G51" t="s">
        <v>17</v>
      </c>
    </row>
    <row r="52" spans="1:9" x14ac:dyDescent="0.35">
      <c r="A52" t="s">
        <v>22</v>
      </c>
    </row>
    <row r="53" spans="1:9" x14ac:dyDescent="0.35">
      <c r="A53" s="1" t="s">
        <v>18</v>
      </c>
      <c r="B53" s="4" t="s">
        <v>2</v>
      </c>
      <c r="C53" s="4" t="s">
        <v>3</v>
      </c>
      <c r="D53" s="4" t="s">
        <v>4</v>
      </c>
      <c r="E53" s="4" t="s">
        <v>5</v>
      </c>
    </row>
    <row r="54" spans="1:9" x14ac:dyDescent="0.35">
      <c r="A54" s="6">
        <v>100000000</v>
      </c>
      <c r="B54" s="6">
        <f>$A$54*B49</f>
        <v>120496506.50797598</v>
      </c>
      <c r="C54" s="6">
        <f t="shared" ref="C54:E54" si="17">$A$54*C49</f>
        <v>-25573945.651320945</v>
      </c>
      <c r="D54" s="6">
        <f t="shared" si="17"/>
        <v>-11203484.118411331</v>
      </c>
      <c r="E54" s="6">
        <f t="shared" si="17"/>
        <v>16280923.261756286</v>
      </c>
    </row>
    <row r="56" spans="1:9" x14ac:dyDescent="0.35">
      <c r="A56" t="s">
        <v>19</v>
      </c>
    </row>
    <row r="57" spans="1:9" x14ac:dyDescent="0.35">
      <c r="A57" t="s">
        <v>20</v>
      </c>
    </row>
    <row r="58" spans="1:9" x14ac:dyDescent="0.35">
      <c r="A58" t="s">
        <v>21</v>
      </c>
    </row>
  </sheetData>
  <mergeCells count="9">
    <mergeCell ref="K1:R1"/>
    <mergeCell ref="A25:E25"/>
    <mergeCell ref="A16:E16"/>
    <mergeCell ref="F16:I16"/>
    <mergeCell ref="A1:A2"/>
    <mergeCell ref="B1:E1"/>
    <mergeCell ref="F1:I1"/>
    <mergeCell ref="A15:E15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2024-06-23T08:09:36Z</dcterms:created>
  <dcterms:modified xsi:type="dcterms:W3CDTF">2024-06-25T14:21:42Z</dcterms:modified>
</cp:coreProperties>
</file>